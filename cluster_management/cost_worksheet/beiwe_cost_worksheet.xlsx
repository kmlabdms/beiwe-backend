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icing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Scaling" sheetId="4" state="visible" r:id="rId4"/>
    <sheet xmlns:r="http://schemas.openxmlformats.org/officeDocument/2006/relationships" name="Savings Plan" sheetId="5" state="visible" r:id="rId5"/>
    <sheet xmlns:r="http://schemas.openxmlformats.org/officeDocument/2006/relationships" name="Fixed Costs" sheetId="6" state="visible" r:id="rId6"/>
    <sheet xmlns:r="http://schemas.openxmlformats.org/officeDocument/2006/relationships" name="Per-Patient Costs" sheetId="7" state="visible" r:id="rId7"/>
    <sheet xmlns:r="http://schemas.openxmlformats.org/officeDocument/2006/relationships" name="Totals" sheetId="8" state="visible" r:id="rId8"/>
    <sheet xmlns:r="http://schemas.openxmlformats.org/officeDocument/2006/relationships" name="Tiers" sheetId="9" state="visible" r:id="rId9"/>
    <sheet xmlns:r="http://schemas.openxmlformats.org/officeDocument/2006/relationships" name="Sample 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000000"/>
    <numFmt numFmtId="165" formatCode="&quot;$&quot;#,##0.00"/>
    <numFmt numFmtId="166" formatCode="&quot;$&quot;#,##0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  <sz val="9"/>
    </font>
    <font>
      <b val="1"/>
      <color rgb="00FFFFFF"/>
    </font>
    <font>
      <b val="1"/>
    </font>
    <font>
      <b val="1"/>
      <color rgb="001F3864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164" fontId="0" fillId="3" borderId="1" pivotButton="0" quotePrefix="0" xfId="0"/>
    <xf numFmtId="0" fontId="4" fillId="0" borderId="0" pivotButton="0" quotePrefix="0" xfId="0"/>
    <xf numFmtId="3" fontId="0" fillId="3" borderId="1" pivotButton="0" quotePrefix="0" xfId="0"/>
    <xf numFmtId="0" fontId="2" fillId="0" borderId="1" applyAlignment="1" pivotButton="0" quotePrefix="0" xfId="0">
      <alignment vertical="top" wrapText="1"/>
    </xf>
    <xf numFmtId="4" fontId="0" fillId="3" borderId="1" pivotButton="0" quotePrefix="0" xfId="0"/>
    <xf numFmtId="9" fontId="0" fillId="3" borderId="1" pivotButton="0" quotePrefix="0" xfId="0"/>
    <xf numFmtId="3" fontId="0" fillId="4" borderId="1" pivotButton="0" quotePrefix="0" xfId="0"/>
    <xf numFmtId="0" fontId="0" fillId="4" borderId="1" pivotButton="0" quotePrefix="0" xfId="0"/>
    <xf numFmtId="165" fontId="0" fillId="4" borderId="1" pivotButton="0" quotePrefix="0" xfId="0"/>
    <xf numFmtId="0" fontId="4" fillId="3" borderId="1" pivotButton="0" quotePrefix="0" xfId="0"/>
    <xf numFmtId="0" fontId="0" fillId="0" borderId="4" pivotButton="0" quotePrefix="0" xfId="0"/>
    <xf numFmtId="9" fontId="0" fillId="4" borderId="1" pivotButton="0" quotePrefix="0" xfId="0"/>
    <xf numFmtId="0" fontId="4" fillId="0" borderId="1" pivotButton="0" quotePrefix="0" xfId="0"/>
    <xf numFmtId="165" fontId="0" fillId="0" borderId="1" pivotButton="0" quotePrefix="0" xfId="0"/>
    <xf numFmtId="0" fontId="4" fillId="5" borderId="1" pivotButton="0" quotePrefix="0" xfId="0"/>
    <xf numFmtId="165" fontId="0" fillId="5" borderId="1" pivotButton="0" quotePrefix="0" xfId="0"/>
    <xf numFmtId="166" fontId="0" fillId="5" borderId="1" pivotButton="0" quotePrefix="0" xfId="0"/>
    <xf numFmtId="9" fontId="0" fillId="0" borderId="1" pivotButton="0" quotePrefix="0" xfId="0"/>
    <xf numFmtId="0" fontId="2" fillId="0" borderId="0" pivotButton="0" quotePrefix="0" xfId="0"/>
    <xf numFmtId="4" fontId="0" fillId="0" borderId="1" pivotButton="0" quotePrefix="0" xfId="0"/>
    <xf numFmtId="0" fontId="4" fillId="5" borderId="0" pivotButton="0" quotePrefix="0" xfId="0"/>
    <xf numFmtId="0" fontId="0" fillId="5" borderId="0" pivotButton="0" quotePrefix="0" xfId="0"/>
    <xf numFmtId="165" fontId="4" fillId="5" borderId="0" pivotButton="0" quotePrefix="0" xfId="0"/>
    <xf numFmtId="4" fontId="0" fillId="4" borderId="1" pivotButton="0" quotePrefix="0" xfId="0"/>
    <xf numFmtId="165" fontId="4" fillId="0" borderId="0" pivotButton="0" quotePrefix="0" xfId="0"/>
    <xf numFmtId="0" fontId="4" fillId="6" borderId="1" pivotButton="0" quotePrefix="0" xfId="0"/>
    <xf numFmtId="165" fontId="0" fillId="6" borderId="1" pivotButton="0" quotePrefix="0" xfId="0"/>
    <xf numFmtId="3" fontId="0" fillId="0" borderId="1" pivotButton="0" quotePrefix="0" xfId="0"/>
    <xf numFmtId="0" fontId="4" fillId="7" borderId="1" pivotButton="0" quotePrefix="0" xfId="0"/>
    <xf numFmtId="0" fontId="0" fillId="7" borderId="1" pivotButton="0" quotePrefix="0" xfId="0"/>
    <xf numFmtId="166" fontId="0" fillId="6" borderId="1" pivotButton="0" quotePrefix="0" xfId="0"/>
    <xf numFmtId="3" fontId="4" fillId="3" borderId="1" applyAlignment="1" pivotButton="0" quotePrefix="0" xfId="0">
      <alignment horizontal="right"/>
    </xf>
    <xf numFmtId="0" fontId="5" fillId="7" borderId="0" pivotButton="0" quotePrefix="0" xfId="0"/>
    <xf numFmtId="0" fontId="0" fillId="7" borderId="0" pivotButton="0" quotePrefix="0" xfId="0"/>
    <xf numFmtId="165" fontId="4" fillId="5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Beiwe AWS Cost Worksheet</t>
        </is>
      </c>
    </row>
    <row r="3">
      <c r="A3" s="2" t="inlineStr">
        <is>
          <t>Purpose</t>
        </is>
      </c>
    </row>
    <row r="4" ht="28" customHeight="1">
      <c r="A4" s="3" t="inlineStr">
        <is>
          <t>A study-design / grant-budgeting estimate of the AWS cost to run Beiwe. Default scenario is the planned grant: ~20-25 patients with up to 90 days of monitoring each.</t>
        </is>
      </c>
    </row>
    <row r="5" ht="28" customHeight="1">
      <c r="A5" s="3" t="inlineStr">
        <is>
          <t>Covers AWS infrastructure for data collection, storage, and query only — NOT personnel, devices, or analysis compute.</t>
        </is>
      </c>
    </row>
    <row r="7">
      <c r="A7" s="2" t="inlineStr">
        <is>
          <t>Scenario</t>
        </is>
      </c>
    </row>
    <row r="8" ht="15" customHeight="1">
      <c r="A8" s="3" t="inlineStr">
        <is>
          <t>24/7 always-on production Beiwe deployment in AWS us-east-1.</t>
        </is>
      </c>
    </row>
    <row r="9" ht="15" customHeight="1">
      <c r="A9" s="3" t="inlineStr">
        <is>
          <t>Includes the additive infrastructure from the feat/ut-setup branch:</t>
        </is>
      </c>
    </row>
    <row r="10" ht="15" customHeight="1">
      <c r="A10" s="3" t="inlineStr">
        <is>
          <t xml:space="preserve">  - DynamoDB upload-metadata index (S3 -&gt; EventBridge -&gt; SQS -&gt; Lambda -&gt; DynamoDB).</t>
        </is>
      </c>
    </row>
    <row r="11" ht="15" customHeight="1">
      <c r="A11" s="3" t="inlineStr">
        <is>
          <t xml:space="preserve">  - Dedicated VPC with NO NAT gateway (saves ~$35/mo vs. a private-subnet design).</t>
        </is>
      </c>
    </row>
    <row r="12" ht="28" customHeight="1">
      <c r="A12" s="3" t="inlineStr">
        <is>
          <t>The nightly-pause scheduler is NOT applied here (it would reduce the compute lines); it is listed on Fixed Costs as an optional saving.</t>
        </is>
      </c>
    </row>
    <row r="14">
      <c r="A14" s="2" t="inlineStr">
        <is>
          <t>Threshold-aware</t>
        </is>
      </c>
    </row>
    <row r="15" ht="15" customHeight="1">
      <c r="A15" s="3" t="inlineStr">
        <is>
          <t>Beiwe's compute and database STEP UP as enrollment grows — they are not flat.</t>
        </is>
      </c>
    </row>
    <row r="16" ht="28" customHeight="1">
      <c r="A16" s="3" t="inlineStr">
        <is>
          <t>Worker count, RDS storage, and RDS instance class are derived from the patient count via tunable ratios on the Scaling sheet.</t>
        </is>
      </c>
    </row>
    <row r="17" ht="28" customHeight="1">
      <c r="A17" s="3" t="inlineStr">
        <is>
          <t>The Tiers sheet recomputes the whole stack at 100 / 500 / 1k / 5k / 25k patients so the step-ups are visible. The processing tier is NOT auto-scaled — workers are added by hand.</t>
        </is>
      </c>
    </row>
    <row r="19">
      <c r="A19" s="2" t="inlineStr">
        <is>
          <t>How to use</t>
        </is>
      </c>
    </row>
    <row r="20" ht="15" customHeight="1">
      <c r="A20" s="3" t="inlineStr">
        <is>
          <t>1. Edit the yellow cells on the Inputs sheet (patient count, study length, streams, etc.).</t>
        </is>
      </c>
    </row>
    <row r="21" ht="28" customHeight="1">
      <c r="A21" s="3" t="inlineStr">
        <is>
          <t>2. Tune the step-function ratios on the Scaling sheet (flagged ones need production calibration).</t>
        </is>
      </c>
    </row>
    <row r="22" ht="15" customHeight="1">
      <c r="A22" s="3" t="inlineStr">
        <is>
          <t>3. Unit rates live on the Pricing sheet (also editable) — update if AWS prices change.</t>
        </is>
      </c>
    </row>
    <row r="23" ht="15" customHeight="1">
      <c r="A23" s="3" t="inlineStr">
        <is>
          <t>4. Read the Totals sheet for the current scenario, or the Tiers sheet for the scaling curve.</t>
        </is>
      </c>
    </row>
    <row r="24" ht="15" customHeight="1">
      <c r="A24" s="3" t="inlineStr">
        <is>
          <t>Open in Excel / Google Sheets / LibreOffice so the formulas recalculate.</t>
        </is>
      </c>
    </row>
    <row r="26">
      <c r="A26" s="2" t="inlineStr">
        <is>
          <t>Cost structure</t>
        </is>
      </c>
    </row>
    <row r="27" ht="41" customHeight="1">
      <c r="A27" s="3" t="inlineStr">
        <is>
          <t>FIXED / fixed-ish (Fixed Costs sheet): EB web tier, Classic LB, processing manager (also runs RabbitMQ), workers, RDS instance + storage + backups, EBS, and small overhead. These step up with patient count.</t>
        </is>
      </c>
    </row>
    <row r="28" ht="28" customHeight="1">
      <c r="A28" s="3" t="inlineStr">
        <is>
          <t>PER-PATIENT (Per-Patient Costs sheet): S3 storage (raw + chunked), S3 requests, the DynamoDB metadata index, and egress. Genuinely linear; storage dominates and grows with study length.</t>
        </is>
      </c>
    </row>
    <row r="30">
      <c r="A30" s="2" t="inlineStr">
        <is>
          <t>Cost-reduction levers (not applied in the base numbers)</t>
        </is>
      </c>
    </row>
    <row r="31" ht="41" customHeight="1">
      <c r="A31" s="3" t="inlineStr">
        <is>
          <t>Compute Savings Plans / Reserved Instances: ~40-50% off EC2 + RDS for a 1- or 3-year commitment — meaningful because the always-on servers dominate cost at small scale. Use the Savings Plan sheet to pick a term and see the discounted total.</t>
        </is>
      </c>
    </row>
    <row r="32" ht="28" customHeight="1">
      <c r="A32" s="3" t="inlineStr">
        <is>
          <t>Nightly pause scheduler (feat/ut-setup): stops web + processing + RDS overnight for non-production environments.</t>
        </is>
      </c>
    </row>
    <row r="33" ht="28" customHeight="1">
      <c r="A33" s="3" t="inlineStr">
        <is>
          <t>Glacier Deep Archive: ~25x cheaper than S3 Standard for long-term retention after collection ends (set the archive fraction on Inputs).</t>
        </is>
      </c>
    </row>
    <row r="34" ht="15" customHeight="1">
      <c r="A34" s="3" t="inlineStr">
        <is>
          <t>After a study finishes collecting, pause/downsize the servers — retention is storage-only.</t>
        </is>
      </c>
    </row>
    <row r="36">
      <c r="A36" s="2" t="inlineStr">
        <is>
          <t>Key assumptions to sanity-check</t>
        </is>
      </c>
    </row>
    <row r="37" ht="28" customHeight="1">
      <c r="A37" s="3" t="inlineStr">
        <is>
          <t>Storage per patient is anchored to a real sample (~13 MiB/day) BUT is dominated by motion sensors — confirm which streams the study actually collects.</t>
        </is>
      </c>
    </row>
    <row r="38" ht="28" customHeight="1">
      <c r="A38" s="3" t="inlineStr">
        <is>
          <t>Raw-upload retention multiplier defaults to 1.0x chunked (total ~2x chunked). Set to 0 if raw files are deleted after processing.</t>
        </is>
      </c>
    </row>
    <row r="39" ht="28" customHeight="1">
      <c r="A39" s="3" t="inlineStr">
        <is>
          <t>Scaling ratios (patients per worker, DB growth, RDS class breakpoints) are CONSERVATIVE rules of thumb — calibrate against production telemetry before quoting at large scale.</t>
        </is>
      </c>
    </row>
    <row r="40" ht="15" customHeight="1">
      <c r="A40" s="3" t="inlineStr">
        <is>
          <t>Pricing is us-east-1 on-demand list price as of the build date; verify before quoting.</t>
        </is>
      </c>
    </row>
  </sheetData>
  <mergeCells count="25">
    <mergeCell ref="A16:F16"/>
    <mergeCell ref="A37:F37"/>
    <mergeCell ref="A27:F27"/>
    <mergeCell ref="A12:F12"/>
    <mergeCell ref="A21:F21"/>
    <mergeCell ref="A33:F33"/>
    <mergeCell ref="A5:F5"/>
    <mergeCell ref="A23:F23"/>
    <mergeCell ref="A32:F32"/>
    <mergeCell ref="A8:F8"/>
    <mergeCell ref="A22:F22"/>
    <mergeCell ref="A17:F17"/>
    <mergeCell ref="A4:F4"/>
    <mergeCell ref="A20:F20"/>
    <mergeCell ref="A38:F38"/>
    <mergeCell ref="A10:F10"/>
    <mergeCell ref="A28:F28"/>
    <mergeCell ref="A9:F9"/>
    <mergeCell ref="A31:F31"/>
    <mergeCell ref="A34:F34"/>
    <mergeCell ref="A40:F40"/>
    <mergeCell ref="A39:F39"/>
    <mergeCell ref="A15:F15"/>
    <mergeCell ref="A24:F24"/>
    <mergeCell ref="A11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6" customWidth="1" min="3" max="3"/>
    <col width="40" customWidth="1" min="4" max="4"/>
  </cols>
  <sheetData>
    <row r="1">
      <c r="A1" s="1" t="inlineStr">
        <is>
          <t>AWS Unit Pricing — us-east-1 (N. Virginia)</t>
        </is>
      </c>
    </row>
    <row r="2" ht="30" customHeight="1">
      <c r="A2" s="4" t="inlineStr">
        <is>
          <t>On-demand list prices. Verify against the AWS pricing pages before quoting; rates current as of the build date below. Changing a rate here updates every dependent formula in the workbook.</t>
        </is>
      </c>
    </row>
    <row r="4">
      <c r="A4" s="5" t="inlineStr">
        <is>
          <t>Item</t>
        </is>
      </c>
      <c r="B4" s="5" t="inlineStr">
        <is>
          <t>Unit</t>
        </is>
      </c>
      <c r="C4" s="5" t="inlineStr">
        <is>
          <t>Rate (USD)</t>
        </is>
      </c>
      <c r="D4" s="5" t="inlineStr">
        <is>
          <t>Source / notes</t>
        </is>
      </c>
    </row>
    <row r="5">
      <c r="A5" s="6" t="inlineStr">
        <is>
          <t>EC2 t3.medium (Linux, on-demand)</t>
        </is>
      </c>
      <c r="B5" s="6" t="inlineStr">
        <is>
          <t>$/hour</t>
        </is>
      </c>
      <c r="C5" s="7" t="n">
        <v>0.0416</v>
      </c>
      <c r="D5" s="6" t="inlineStr">
        <is>
          <t>EC2 on-demand</t>
        </is>
      </c>
    </row>
    <row r="6">
      <c r="A6" s="6" t="inlineStr">
        <is>
          <t>EC2 t3.large (Linux, on-demand)</t>
        </is>
      </c>
      <c r="B6" s="6" t="inlineStr">
        <is>
          <t>$/hour</t>
        </is>
      </c>
      <c r="C6" s="7" t="n">
        <v>0.0832</v>
      </c>
      <c r="D6" s="6" t="inlineStr">
        <is>
          <t>EC2 on-demand</t>
        </is>
      </c>
    </row>
    <row r="7">
      <c r="A7" s="6" t="inlineStr">
        <is>
          <t>EC2 m5.large (Linux, on-demand)</t>
        </is>
      </c>
      <c r="B7" s="6" t="inlineStr">
        <is>
          <t>$/hour</t>
        </is>
      </c>
      <c r="C7" s="7" t="n">
        <v>0.096</v>
      </c>
      <c r="D7" s="6" t="inlineStr">
        <is>
          <t>EC2 on-demand</t>
        </is>
      </c>
    </row>
    <row r="8">
      <c r="A8" s="6" t="inlineStr">
        <is>
          <t>RDS db.m5.large (PostgreSQL, Single-AZ)</t>
        </is>
      </c>
      <c r="B8" s="6" t="inlineStr">
        <is>
          <t>$/hour</t>
        </is>
      </c>
      <c r="C8" s="7" t="n">
        <v>0.171</v>
      </c>
      <c r="D8" s="6" t="inlineStr">
        <is>
          <t>RDS PostgreSQL on-demand</t>
        </is>
      </c>
    </row>
    <row r="9">
      <c r="A9" s="6" t="inlineStr">
        <is>
          <t>RDS db.m5.xlarge (PostgreSQL, Single-AZ)</t>
        </is>
      </c>
      <c r="B9" s="6" t="inlineStr">
        <is>
          <t>$/hour</t>
        </is>
      </c>
      <c r="C9" s="7" t="n">
        <v>0.342</v>
      </c>
      <c r="D9" s="6" t="inlineStr">
        <is>
          <t>RDS PostgreSQL on-demand</t>
        </is>
      </c>
    </row>
    <row r="10">
      <c r="A10" s="6" t="inlineStr">
        <is>
          <t>RDS db.m5.2xlarge (PostgreSQL, Single-AZ)</t>
        </is>
      </c>
      <c r="B10" s="6" t="inlineStr">
        <is>
          <t>$/hour</t>
        </is>
      </c>
      <c r="C10" s="7" t="n">
        <v>0.6840000000000001</v>
      </c>
      <c r="D10" s="6" t="inlineStr">
        <is>
          <t>RDS PostgreSQL on-demand</t>
        </is>
      </c>
    </row>
    <row r="11">
      <c r="A11" s="6" t="inlineStr">
        <is>
          <t>RDS db.m5.4xlarge (PostgreSQL, Single-AZ)</t>
        </is>
      </c>
      <c r="B11" s="6" t="inlineStr">
        <is>
          <t>$/hour</t>
        </is>
      </c>
      <c r="C11" s="7" t="n">
        <v>1.368</v>
      </c>
      <c r="D11" s="6" t="inlineStr">
        <is>
          <t>RDS PostgreSQL on-demand</t>
        </is>
      </c>
    </row>
    <row r="12">
      <c r="A12" s="6" t="inlineStr">
        <is>
          <t>RDS gp2 storage</t>
        </is>
      </c>
      <c r="B12" s="6" t="inlineStr">
        <is>
          <t>$/GB-month</t>
        </is>
      </c>
      <c r="C12" s="7" t="n">
        <v>0.115</v>
      </c>
      <c r="D12" s="6" t="inlineStr">
        <is>
          <t>RDS storage</t>
        </is>
      </c>
    </row>
    <row r="13">
      <c r="A13" s="6" t="inlineStr">
        <is>
          <t>RDS backup storage (beyond free allocation)</t>
        </is>
      </c>
      <c r="B13" s="6" t="inlineStr">
        <is>
          <t>$/GB-month</t>
        </is>
      </c>
      <c r="C13" s="7" t="n">
        <v>0.095</v>
      </c>
      <c r="D13" s="6" t="inlineStr">
        <is>
          <t>Free up to 100% of provisioned storage</t>
        </is>
      </c>
    </row>
    <row r="14">
      <c r="A14" s="6" t="inlineStr">
        <is>
          <t>Classic Load Balancer (hourly)</t>
        </is>
      </c>
      <c r="B14" s="6" t="inlineStr">
        <is>
          <t>$/hour</t>
        </is>
      </c>
      <c r="C14" s="7" t="n">
        <v>0.025</v>
      </c>
      <c r="D14" s="6" t="inlineStr">
        <is>
          <t>ELB Classic (~$18/mo)</t>
        </is>
      </c>
    </row>
    <row r="15">
      <c r="A15" s="6" t="inlineStr">
        <is>
          <t>Classic LB data processed</t>
        </is>
      </c>
      <c r="B15" s="6" t="inlineStr">
        <is>
          <t>$/GB</t>
        </is>
      </c>
      <c r="C15" s="7" t="n">
        <v>0.008</v>
      </c>
      <c r="D15" s="6" t="inlineStr">
        <is>
          <t>ELB Classic</t>
        </is>
      </c>
    </row>
    <row r="16">
      <c r="A16" s="6" t="inlineStr">
        <is>
          <t>EBS gp3 volume</t>
        </is>
      </c>
      <c r="B16" s="6" t="inlineStr">
        <is>
          <t>$/GB-month</t>
        </is>
      </c>
      <c r="C16" s="7" t="n">
        <v>0.08</v>
      </c>
      <c r="D16" s="6" t="inlineStr">
        <is>
          <t>EBS</t>
        </is>
      </c>
    </row>
    <row r="17">
      <c r="A17" s="6" t="inlineStr">
        <is>
          <t>S3 Standard storage</t>
        </is>
      </c>
      <c r="B17" s="6" t="inlineStr">
        <is>
          <t>$/GB-month</t>
        </is>
      </c>
      <c r="C17" s="7" t="n">
        <v>0.023</v>
      </c>
      <c r="D17" s="6" t="inlineStr">
        <is>
          <t>First 50 TB</t>
        </is>
      </c>
    </row>
    <row r="18">
      <c r="A18" s="6" t="inlineStr">
        <is>
          <t>S3 Glacier Deep Archive storage</t>
        </is>
      </c>
      <c r="B18" s="6" t="inlineStr">
        <is>
          <t>$/GB-month</t>
        </is>
      </c>
      <c r="C18" s="7" t="n">
        <v>0.00099</v>
      </c>
      <c r="D18" s="6" t="inlineStr">
        <is>
          <t>Cold archive tier</t>
        </is>
      </c>
    </row>
    <row r="19">
      <c r="A19" s="6" t="inlineStr">
        <is>
          <t>S3 PUT/POST/LIST requests</t>
        </is>
      </c>
      <c r="B19" s="6" t="inlineStr">
        <is>
          <t>$/1,000 requests</t>
        </is>
      </c>
      <c r="C19" s="7" t="n">
        <v>0.005</v>
      </c>
      <c r="D19" s="6" t="inlineStr">
        <is>
          <t>S3 request pricing</t>
        </is>
      </c>
    </row>
    <row r="20">
      <c r="A20" s="6" t="inlineStr">
        <is>
          <t>S3 GET requests</t>
        </is>
      </c>
      <c r="B20" s="6" t="inlineStr">
        <is>
          <t>$/1,000 requests</t>
        </is>
      </c>
      <c r="C20" s="7" t="n">
        <v>0.0004</v>
      </c>
      <c r="D20" s="6" t="inlineStr">
        <is>
          <t>S3 request pricing</t>
        </is>
      </c>
    </row>
    <row r="21">
      <c r="A21" s="6" t="inlineStr">
        <is>
          <t>DynamoDB write request units (on-demand)</t>
        </is>
      </c>
      <c r="B21" s="6" t="inlineStr">
        <is>
          <t>$/million</t>
        </is>
      </c>
      <c r="C21" s="7" t="n">
        <v>1.25</v>
      </c>
      <c r="D21" s="6" t="inlineStr">
        <is>
          <t>DynamoDB on-demand</t>
        </is>
      </c>
    </row>
    <row r="22">
      <c r="A22" s="6" t="inlineStr">
        <is>
          <t>DynamoDB read request units (on-demand)</t>
        </is>
      </c>
      <c r="B22" s="6" t="inlineStr">
        <is>
          <t>$/million</t>
        </is>
      </c>
      <c r="C22" s="7" t="n">
        <v>0.25</v>
      </c>
      <c r="D22" s="6" t="inlineStr">
        <is>
          <t>DynamoDB on-demand</t>
        </is>
      </c>
    </row>
    <row r="23">
      <c r="A23" s="6" t="inlineStr">
        <is>
          <t>DynamoDB storage</t>
        </is>
      </c>
      <c r="B23" s="6" t="inlineStr">
        <is>
          <t>$/GB-month</t>
        </is>
      </c>
      <c r="C23" s="7" t="n">
        <v>0.25</v>
      </c>
      <c r="D23" s="6" t="inlineStr">
        <is>
          <t>DynamoDB</t>
        </is>
      </c>
    </row>
    <row r="24">
      <c r="A24" s="6" t="inlineStr">
        <is>
          <t>Lambda requests</t>
        </is>
      </c>
      <c r="B24" s="6" t="inlineStr">
        <is>
          <t>$/million</t>
        </is>
      </c>
      <c r="C24" s="7" t="n">
        <v>0.2</v>
      </c>
      <c r="D24" s="6" t="inlineStr">
        <is>
          <t>Lambda</t>
        </is>
      </c>
    </row>
    <row r="25">
      <c r="A25" s="6" t="inlineStr">
        <is>
          <t>Lambda compute</t>
        </is>
      </c>
      <c r="B25" s="6" t="inlineStr">
        <is>
          <t>$/GB-second</t>
        </is>
      </c>
      <c r="C25" s="7" t="n">
        <v>1.66667e-05</v>
      </c>
      <c r="D25" s="6" t="inlineStr">
        <is>
          <t>Lambda</t>
        </is>
      </c>
    </row>
    <row r="26">
      <c r="A26" s="6" t="inlineStr">
        <is>
          <t>SQS requests</t>
        </is>
      </c>
      <c r="B26" s="6" t="inlineStr">
        <is>
          <t>$/million</t>
        </is>
      </c>
      <c r="C26" s="7" t="n">
        <v>0.4</v>
      </c>
      <c r="D26" s="6" t="inlineStr">
        <is>
          <t>Standard queue; first 1M/mo free</t>
        </is>
      </c>
    </row>
    <row r="27">
      <c r="A27" s="6" t="inlineStr">
        <is>
          <t>Data transfer out to internet</t>
        </is>
      </c>
      <c r="B27" s="6" t="inlineStr">
        <is>
          <t>$/GB</t>
        </is>
      </c>
      <c r="C27" s="7" t="n">
        <v>0.09</v>
      </c>
      <c r="D27" s="6" t="inlineStr">
        <is>
          <t>First 100 GB/mo free; tiers down past 10 TB</t>
        </is>
      </c>
    </row>
    <row r="28">
      <c r="A28" s="6" t="inlineStr">
        <is>
          <t>Secrets Manager secret</t>
        </is>
      </c>
      <c r="B28" s="6" t="inlineStr">
        <is>
          <t>$/secret-month</t>
        </is>
      </c>
      <c r="C28" s="7" t="n">
        <v>0.4</v>
      </c>
      <c r="D28" s="6" t="inlineStr">
        <is>
          <t>Secrets Manager</t>
        </is>
      </c>
    </row>
    <row r="29">
      <c r="A29" s="6" t="inlineStr">
        <is>
          <t>Route 53 hosted zone</t>
        </is>
      </c>
      <c r="B29" s="6" t="inlineStr">
        <is>
          <t>$/month</t>
        </is>
      </c>
      <c r="C29" s="7" t="n">
        <v>0.5</v>
      </c>
      <c r="D29" s="6" t="inlineStr">
        <is>
          <t>First 25 hosted zones</t>
        </is>
      </c>
    </row>
    <row r="30">
      <c r="A30" s="6" t="inlineStr">
        <is>
          <t>CloudWatch logs + metrics (estimate)</t>
        </is>
      </c>
      <c r="B30" s="6" t="inlineStr">
        <is>
          <t>$/month</t>
        </is>
      </c>
      <c r="C30" s="7" t="n">
        <v>3</v>
      </c>
      <c r="D30" s="6" t="inlineStr">
        <is>
          <t>Rough fixed allowance</t>
        </is>
      </c>
    </row>
    <row r="32">
      <c r="A32" s="8" t="inlineStr">
        <is>
          <t>Build date</t>
        </is>
      </c>
      <c r="B32" t="inlineStr">
        <is>
          <t>2026-06-24</t>
        </is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60" customWidth="1" min="4" max="4"/>
  </cols>
  <sheetData>
    <row r="1">
      <c r="A1" s="1" t="inlineStr">
        <is>
          <t>Inputs — edit the yellow cells</t>
        </is>
      </c>
    </row>
    <row r="2" ht="30" customHeight="1">
      <c r="A2" s="4" t="inlineStr">
        <is>
          <t>Server capacity (workers, RDS size/class, web instances) is DERIVED from the patient count on the Scaling sheet — adjust the ratios there. Everything else recalculates from these values and the Pricing sheet.</t>
        </is>
      </c>
    </row>
    <row r="4">
      <c r="A4" s="5" t="inlineStr">
        <is>
          <t>Input</t>
        </is>
      </c>
      <c r="B4" s="5" t="inlineStr">
        <is>
          <t>Value</t>
        </is>
      </c>
      <c r="C4" s="5" t="inlineStr">
        <is>
          <t>Unit</t>
        </is>
      </c>
      <c r="D4" s="5" t="inlineStr">
        <is>
          <t>Notes</t>
        </is>
      </c>
    </row>
    <row r="5" ht="30" customHeight="1">
      <c r="A5" s="6" t="inlineStr">
        <is>
          <t>Number of enrolled patients</t>
        </is>
      </c>
      <c r="B5" s="9" t="n">
        <v>25</v>
      </c>
      <c r="C5" s="6" t="inlineStr">
        <is>
          <t>patients</t>
        </is>
      </c>
      <c r="D5" s="10" t="inlineStr">
        <is>
          <t>Default = the planned grant scenario (~20-25 patients). Drives derived server capacity (Scaling sheet).</t>
        </is>
      </c>
    </row>
    <row r="6" ht="30" customHeight="1">
      <c r="A6" s="6" t="inlineStr">
        <is>
          <t>Months of data collection per patient</t>
        </is>
      </c>
      <c r="B6" s="9" t="n">
        <v>3</v>
      </c>
      <c r="C6" s="6" t="inlineStr">
        <is>
          <t>months</t>
        </is>
      </c>
      <c r="D6" s="10" t="inlineStr">
        <is>
          <t>Default = 90 days monitoring (the grant scenario). Storage accumulates over this period and is retained afterward.</t>
        </is>
      </c>
    </row>
    <row r="7" ht="30" customHeight="1">
      <c r="A7" s="6" t="inlineStr">
        <is>
          <t>Chunked data generated per patient / month</t>
        </is>
      </c>
      <c r="B7" s="11" t="n">
        <v>0.381</v>
      </c>
      <c r="C7" s="6" t="inlineStr">
        <is>
          <t>GB/patient/month</t>
        </is>
      </c>
      <c r="D7" s="10" t="inlineStr">
        <is>
          <t>Sample anchor: ~13 MiB/day (see Sample Data). HIGHLY dependent on enabled streams — motion sensors (accel/gyro/magnetometer) were 95% of the sample.</t>
        </is>
      </c>
    </row>
    <row r="8" ht="30" customHeight="1">
      <c r="A8" s="6" t="inlineStr">
        <is>
          <t>Raw-upload retention multiplier</t>
        </is>
      </c>
      <c r="B8" s="11" t="n">
        <v>1</v>
      </c>
      <c r="C8" s="6" t="inlineStr">
        <is>
          <t>x chunked</t>
        </is>
      </c>
      <c r="D8" s="10" t="inlineStr">
        <is>
          <t>Raw uploads are also kept on S3 (~1.0x the chunked volume; total ~2x chunked). Set to 0 if raw is deleted after processing.</t>
        </is>
      </c>
    </row>
    <row r="9" ht="30" customHeight="1">
      <c r="A9" s="6" t="inlineStr">
        <is>
          <t>Fraction archived to Glacier Deep Archive</t>
        </is>
      </c>
      <c r="B9" s="12" t="n">
        <v>0</v>
      </c>
      <c r="C9" s="6" t="inlineStr">
        <is>
          <t>0-1</t>
        </is>
      </c>
      <c r="D9" s="10" t="inlineStr">
        <is>
          <t>Cold data can be archived (S3File tracks Glacier state). 0 = everything in S3 Standard.</t>
        </is>
      </c>
    </row>
    <row r="10" ht="30" customHeight="1">
      <c r="A10" s="6" t="inlineStr">
        <is>
          <t>EBS root volume per server</t>
        </is>
      </c>
      <c r="B10" s="9" t="n">
        <v>20</v>
      </c>
      <c r="C10" s="6" t="inlineStr">
        <is>
          <t>GB</t>
        </is>
      </c>
      <c r="D10" s="10" t="inlineStr">
        <is>
          <t>Applied to web + 1 manager + worker instances.</t>
        </is>
      </c>
    </row>
    <row r="11" ht="30" customHeight="1">
      <c r="A11" s="6" t="inlineStr">
        <is>
          <t>Raw uploads per patient / day</t>
        </is>
      </c>
      <c r="B11" s="9" t="n">
        <v>150</v>
      </c>
      <c r="C11" s="6" t="inlineStr">
        <is>
          <t>uploads/day</t>
        </is>
      </c>
      <c r="D11" s="10" t="inlineStr">
        <is>
          <t>Drives metadata-index, S3-request, and DB-growth costs. Estimate; small either way.</t>
        </is>
      </c>
    </row>
    <row r="12" ht="30" customHeight="1">
      <c r="A12" s="6" t="inlineStr">
        <is>
          <t>Data egress (researcher downloads) / month</t>
        </is>
      </c>
      <c r="B12" s="9" t="n">
        <v>0</v>
      </c>
      <c r="C12" s="6" t="inlineStr">
        <is>
          <t>GB/month</t>
        </is>
      </c>
      <c r="D12" s="10" t="inlineStr">
        <is>
          <t>Participant data downloaded over the internet. First 100 GB/mo is free.</t>
        </is>
      </c>
    </row>
    <row r="13" ht="30" customHeight="1">
      <c r="A13" s="6" t="inlineStr">
        <is>
          <t>Hours per month</t>
        </is>
      </c>
      <c r="B13" s="9" t="n">
        <v>730</v>
      </c>
      <c r="C13" s="6" t="inlineStr">
        <is>
          <t>hours</t>
        </is>
      </c>
      <c r="D13" s="10" t="inlineStr">
        <is>
          <t>Billing convention (365*24/12). Leave at 730 for always-on.</t>
        </is>
      </c>
    </row>
    <row r="14" ht="30" customHeight="1">
      <c r="A14" s="6" t="inlineStr">
        <is>
          <t>Days per month</t>
        </is>
      </c>
      <c r="B14" s="11" t="n">
        <v>30.44</v>
      </c>
      <c r="C14" s="6" t="inlineStr">
        <is>
          <t>days</t>
        </is>
      </c>
      <c r="D14" s="10" t="inlineStr">
        <is>
          <t>365.25/12. Converts per-day rates to per-month.</t>
        </is>
      </c>
    </row>
    <row r="15" ht="30" customHeight="1">
      <c r="A15" s="6" t="inlineStr">
        <is>
          <t>DynamoDB writes per upload</t>
        </is>
      </c>
      <c r="B15" s="9" t="n">
        <v>5</v>
      </c>
      <c r="C15" s="6" t="inlineStr">
        <is>
          <t>writes</t>
        </is>
      </c>
      <c r="D15" s="10" t="inlineStr">
        <is>
          <t>Metadata-index Lambda: marker + per-stream rollup + study rollup + 2 latest-pointers.</t>
        </is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40" customWidth="1" min="3" max="3"/>
    <col width="40" customWidth="1" min="4" max="4"/>
  </cols>
  <sheetData>
    <row r="1">
      <c r="A1" s="1" t="inlineStr">
        <is>
          <t>Scaling &amp; thresholds</t>
        </is>
      </c>
    </row>
    <row r="2" ht="30" customHeight="1">
      <c r="A2" s="4" t="inlineStr">
        <is>
          <t>Beiwe's compute and database step up as enrollment grows. These ratios convert patient count into required capacity. Defaults are CONSERVATIVE rules of thumb — calibrate the flagged ones against production telemetry (queue lag, DB size, CPU).</t>
        </is>
      </c>
    </row>
    <row r="4">
      <c r="A4" s="5" t="inlineStr">
        <is>
          <t>Assumption</t>
        </is>
      </c>
      <c r="B4" s="5" t="inlineStr">
        <is>
          <t>Value</t>
        </is>
      </c>
      <c r="C4" s="5" t="inlineStr">
        <is>
          <t>Unit</t>
        </is>
      </c>
      <c r="D4" s="5" t="inlineStr">
        <is>
          <t>Notes</t>
        </is>
      </c>
    </row>
    <row r="5" ht="34" customHeight="1">
      <c r="A5" s="6" t="inlineStr">
        <is>
          <t>Patients the manager alone keeps up with</t>
        </is>
      </c>
      <c r="B5" s="9" t="n">
        <v>150</v>
      </c>
      <c r="C5" s="6" t="inlineStr">
        <is>
          <t>patients</t>
        </is>
      </c>
      <c r="D5" s="10" t="inlineStr">
        <is>
          <t>Manager (t3.medium) also runs RabbitMQ + celery beat, so less than a dedicated worker. Below this, 0 workers needed. CALIBRATE with queue-lag metrics.</t>
        </is>
      </c>
    </row>
    <row r="6" ht="34" customHeight="1">
      <c r="A6" s="6" t="inlineStr">
        <is>
          <t>Additional patients per worker box</t>
        </is>
      </c>
      <c r="B6" s="9" t="n">
        <v>250</v>
      </c>
      <c r="C6" s="6" t="inlineStr">
        <is>
          <t>patients/worker</t>
        </is>
      </c>
      <c r="D6" s="10" t="inlineStr">
        <is>
          <t>Each m5.large worker runs ~6 concurrent tasks (2*vCPU+2). 6-min cycle; tasks expire at 5:30, so the batch must drain in time. Processing is NOT auto-scaled — workers are added by hand. CALIBRATE.</t>
        </is>
      </c>
    </row>
    <row r="7" ht="34" customHeight="1">
      <c r="A7" s="6" t="inlineStr">
        <is>
          <t>Patients per web instance</t>
        </is>
      </c>
      <c r="B7" s="9" t="n">
        <v>2500</v>
      </c>
      <c r="C7" s="6" t="inlineStr">
        <is>
          <t>patients/instance</t>
        </is>
      </c>
      <c r="D7" s="10" t="inlineStr">
        <is>
          <t>Upload endpoints are lightweight. ASG Max=2 today — beyond 2 instances, raise MaxSize. CALIBRATE.</t>
        </is>
      </c>
    </row>
    <row r="8" ht="34" customHeight="1">
      <c r="A8" s="6" t="inlineStr">
        <is>
          <t>Minimum web instances</t>
        </is>
      </c>
      <c r="B8" s="9" t="n">
        <v>1</v>
      </c>
      <c r="C8" s="6" t="inlineStr">
        <is>
          <t>instances</t>
        </is>
      </c>
      <c r="D8" s="10" t="inlineStr">
        <is>
          <t>ASG MinSize.</t>
        </is>
      </c>
    </row>
    <row r="9" ht="34" customHeight="1">
      <c r="A9" s="6" t="inlineStr">
        <is>
          <t>ChunkRegistry rows per patient / day</t>
        </is>
      </c>
      <c r="B9" s="9" t="n">
        <v>89</v>
      </c>
      <c r="C9" s="6" t="inlineStr">
        <is>
          <t>rows/day</t>
        </is>
      </c>
      <c r="D9" s="10" t="inlineStr">
        <is>
          <t>From sample (7,107 chunks / 8 patients / ~10 days). Stream-dependent.</t>
        </is>
      </c>
    </row>
    <row r="10" ht="34" customHeight="1">
      <c r="A10" s="6" t="inlineStr">
        <is>
          <t>Bytes per DB row incl. indexes</t>
        </is>
      </c>
      <c r="B10" s="11" t="n">
        <v>0.8</v>
      </c>
      <c r="C10" s="6" t="inlineStr">
        <is>
          <t>KB/row</t>
        </is>
      </c>
      <c r="D10" s="10" t="inlineStr">
        <is>
          <t>ChunkRegistry + UploadTracking average. Rough.</t>
        </is>
      </c>
    </row>
    <row r="11" ht="34" customHeight="1">
      <c r="A11" s="6" t="inlineStr">
        <is>
          <t>DB headroom / overhead factor</t>
        </is>
      </c>
      <c r="B11" s="11" t="n">
        <v>1.5</v>
      </c>
      <c r="C11" s="6" t="inlineStr">
        <is>
          <t>x</t>
        </is>
      </c>
      <c r="D11" s="10" t="inlineStr">
        <is>
          <t>Indexes, bloat, free space, and other tables (SummaryStatisticDaily, etc.).</t>
        </is>
      </c>
    </row>
    <row r="12" ht="34" customHeight="1">
      <c r="A12" s="6" t="inlineStr">
        <is>
          <t>Workers =&gt; bump RDS to db.m5.xlarge</t>
        </is>
      </c>
      <c r="B12" s="9" t="n">
        <v>2</v>
      </c>
      <c r="C12" s="6" t="inlineStr">
        <is>
          <t>workers</t>
        </is>
      </c>
      <c r="D12" s="10" t="inlineStr">
        <is>
          <t>DB connection + CPU pressure: every web instance AND every celery process holds connections. db.m5.large ~= 830 max connections. CALIBRATE.</t>
        </is>
      </c>
    </row>
    <row r="13" ht="34" customHeight="1">
      <c r="A13" s="6" t="inlineStr">
        <is>
          <t>Workers =&gt; bump RDS to db.m5.2xlarge</t>
        </is>
      </c>
      <c r="B13" s="9" t="n">
        <v>5</v>
      </c>
      <c r="C13" s="6" t="inlineStr">
        <is>
          <t>workers</t>
        </is>
      </c>
      <c r="D13" s="10" t="inlineStr"/>
    </row>
    <row r="14" ht="34" customHeight="1">
      <c r="A14" s="6" t="inlineStr">
        <is>
          <t>Workers =&gt; bump RDS to db.m5.4xlarge</t>
        </is>
      </c>
      <c r="B14" s="9" t="n">
        <v>11</v>
      </c>
      <c r="C14" s="6" t="inlineStr">
        <is>
          <t>workers</t>
        </is>
      </c>
      <c r="D14" s="10" t="inlineStr"/>
    </row>
    <row r="16">
      <c r="A16" s="2" t="inlineStr">
        <is>
          <t>Derived capacity for the current Inputs scenario</t>
        </is>
      </c>
    </row>
    <row r="17">
      <c r="A17" s="6" t="inlineStr">
        <is>
          <t>Worker boxes required (m5.large)</t>
        </is>
      </c>
      <c r="B17" s="13">
        <f>ROUND(CEILING(MAX(0,Inputs!$B$5-Scaling!$B$5)/Scaling!$B$6,1),0)</f>
        <v/>
      </c>
    </row>
    <row r="18">
      <c r="A18" s="6" t="inlineStr">
        <is>
          <t>Web instances required</t>
        </is>
      </c>
      <c r="B18" s="13">
        <f>ROUND(MAX(Scaling!$B$8,CEILING(Inputs!$B$5/Scaling!$B$7,1)),0)</f>
        <v/>
      </c>
    </row>
    <row r="19">
      <c r="A19" s="6" t="inlineStr">
        <is>
          <t>RDS storage required (GB)</t>
        </is>
      </c>
      <c r="B19" s="13">
        <f>ROUND(MAX(50,ROUNDUP(Inputs!$B$5*Inputs!$B$6*(Scaling!$B$9+Inputs!$B$11)*Inputs!$B$14*Scaling!$B$10/1000000*Scaling!$B$11,0)),0)</f>
        <v/>
      </c>
    </row>
    <row r="20">
      <c r="A20" s="6" t="inlineStr">
        <is>
          <t>RDS instance class</t>
        </is>
      </c>
      <c r="B20" s="14">
        <f>IF(Scaling!$B$17&gt;=Scaling!$B$14,"db.m5.4xlarge",IF(Scaling!$B$17&gt;=Scaling!$B$13,"db.m5.2xlarge",IF(Scaling!$B$17&gt;=Scaling!$B$12,"db.m5.xlarge","db.m5.large")))</f>
        <v/>
      </c>
    </row>
    <row r="21">
      <c r="A21" s="6" t="inlineStr">
        <is>
          <t>RDS instance rate ($/hr)</t>
        </is>
      </c>
      <c r="B21" s="15">
        <f>IF(Scaling!$B$17&gt;=Scaling!$B$14,Pricing!$C$11,IF(Scaling!$B$17&gt;=Scaling!$B$13,Pricing!$C$10,IF(Scaling!$B$17&gt;=Scaling!$B$12,Pricing!$C$9,Pricing!$C$8)))</f>
        <v/>
      </c>
    </row>
    <row r="23">
      <c r="A23" s="2" t="inlineStr">
        <is>
          <t>Where the step-functions are</t>
        </is>
      </c>
    </row>
    <row r="24">
      <c r="A24" s="5" t="inlineStr">
        <is>
          <t>Component</t>
        </is>
      </c>
      <c r="B24" s="5" t="inlineStr">
        <is>
          <t>What pushes it</t>
        </is>
      </c>
      <c r="C24" s="5" t="inlineStr">
        <is>
          <t>Action at threshold</t>
        </is>
      </c>
    </row>
    <row r="25" ht="40" customHeight="1">
      <c r="A25" s="6" t="inlineStr">
        <is>
          <t>Processing workers</t>
        </is>
      </c>
      <c r="B25" s="10" t="inlineStr">
        <is>
          <t>Files per 6-min cycle (patients x upload cadence). ~6 concurrent tasks/m5.large; tasks expire at 5:30. NOT auto-scaled — added manually.</t>
        </is>
      </c>
      <c r="C25" s="10" t="inlineStr">
        <is>
          <t>Add m5.large workers</t>
        </is>
      </c>
    </row>
    <row r="26" ht="40" customHeight="1">
      <c r="A26" s="6" t="inlineStr">
        <is>
          <t>RDS storage</t>
        </is>
      </c>
      <c r="B26" s="10" t="inlineStr">
        <is>
          <t>ChunkRegistry (~1 row/chunk) + UploadTracking (~1 row/upload) grow without bound; flagged 'very large on production' in CLAUDE.md.</t>
        </is>
      </c>
      <c r="C26" s="10" t="inlineStr">
        <is>
          <t>Raise allocation; gp2 gives only 3 IOPS/GB -&gt; maybe gp3/io1</t>
        </is>
      </c>
    </row>
    <row r="27" ht="40" customHeight="1">
      <c r="A27" s="6" t="inlineStr">
        <is>
          <t>RDS instance class</t>
        </is>
      </c>
      <c r="B27" s="10" t="inlineStr">
        <is>
          <t>DB connections + query CPU from web instances and every celery process. db.m5.large ~830 max connections.</t>
        </is>
      </c>
      <c r="C27" s="10" t="inlineStr">
        <is>
          <t>Step to xlarge / 2xlarge / 4xlarge</t>
        </is>
      </c>
    </row>
    <row r="28" ht="40" customHeight="1">
      <c r="A28" s="6" t="inlineStr">
        <is>
          <t>Web tier</t>
        </is>
      </c>
      <c r="B28" s="10" t="inlineStr">
        <is>
          <t>Mobile upload request rate. ASG Max=2 today.</t>
        </is>
      </c>
      <c r="C28" s="10" t="inlineStr">
        <is>
          <t>Raise MaxSize / instance size</t>
        </is>
      </c>
    </row>
    <row r="29" ht="40" customHeight="1">
      <c r="A29" s="6" t="inlineStr">
        <is>
          <t>RabbitMQ (on manager)</t>
        </is>
      </c>
      <c r="B29" s="10" t="inlineStr">
        <is>
          <t>Queue backlog held in manager RAM (4 GB) if processing lags.</t>
        </is>
      </c>
      <c r="C29" s="10" t="inlineStr">
        <is>
          <t>Bigger manager or dedicated broker</t>
        </is>
      </c>
    </row>
    <row r="30" ht="40" customHeight="1">
      <c r="A30" s="6" t="inlineStr">
        <is>
          <t>S3 / DynamoDB / CLB</t>
        </is>
      </c>
      <c r="B30" s="10" t="inlineStr">
        <is>
          <t>Effectively unbounded. DDB is on-demand (auto-scales); per-study hot-partition is mitigated by the WRITE_STUDY_ROLLUP toggle. CLB auto-scales.</t>
        </is>
      </c>
      <c r="C30" s="10" t="inlineStr">
        <is>
          <t>Nothing (genuinely linear)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22" customWidth="1" min="4" max="4"/>
  </cols>
  <sheetData>
    <row r="1">
      <c r="A1" s="1" t="inlineStr">
        <is>
          <t>Savings Plan / Reserved Instance picker</t>
        </is>
      </c>
    </row>
    <row r="2" ht="48" customHeight="1">
      <c r="A2" s="4" t="inlineStr">
        <is>
          <t>Pick a commitment in the yellow cell below. Savings Plans (EC2) and Reserved Instances (RDS) discount COMPUTE only — the EC2 servers and the RDS database instance. Storage (S3, EBS, RDS storage), the load balancer, DynamoDB, and data transfer always bill on-demand. Discount %s are approximate us-east-1 list values — overwrite them with a real quote from the AWS calculator or your account rep.</t>
        </is>
      </c>
    </row>
    <row r="4">
      <c r="A4" s="8" t="inlineStr">
        <is>
          <t>Selected plan:</t>
        </is>
      </c>
      <c r="B4" s="16" t="inlineStr">
        <is>
          <t>None (on-demand)</t>
        </is>
      </c>
      <c r="C4" s="17" t="n"/>
    </row>
    <row r="5">
      <c r="A5" t="inlineStr">
        <is>
          <t>EC2 / compute discount applied</t>
        </is>
      </c>
      <c r="B5" s="18">
        <f>VLOOKUP($B$4,$A$9:$C$13,2,FALSE)</f>
        <v/>
      </c>
    </row>
    <row r="6">
      <c r="A6" t="inlineStr">
        <is>
          <t>RDS discount applied</t>
        </is>
      </c>
      <c r="B6" s="18">
        <f>VLOOKUP($B$4,$A$9:$C$13,3,FALSE)</f>
        <v/>
      </c>
    </row>
    <row r="8">
      <c r="A8" s="5" t="inlineStr">
        <is>
          <t>Plan</t>
        </is>
      </c>
      <c r="B8" s="5" t="inlineStr">
        <is>
          <t>EC2 / Compute SP discount</t>
        </is>
      </c>
      <c r="C8" s="5" t="inlineStr">
        <is>
          <t>RDS RI discount</t>
        </is>
      </c>
      <c r="D8" s="5" t="inlineStr">
        <is>
          <t>Term / payment</t>
        </is>
      </c>
    </row>
    <row r="9">
      <c r="A9" s="6" t="inlineStr">
        <is>
          <t>None (on-demand)</t>
        </is>
      </c>
      <c r="B9" s="12" t="n">
        <v>0</v>
      </c>
      <c r="C9" s="12" t="n">
        <v>0</v>
      </c>
      <c r="D9" s="6" t="inlineStr">
        <is>
          <t>No commitment</t>
        </is>
      </c>
    </row>
    <row r="10">
      <c r="A10" s="6" t="inlineStr">
        <is>
          <t>1-year, no upfront</t>
        </is>
      </c>
      <c r="B10" s="12" t="n">
        <v>0.27</v>
      </c>
      <c r="C10" s="12" t="n">
        <v>0.3</v>
      </c>
      <c r="D10" s="6" t="inlineStr">
        <is>
          <t>1 yr, $0 upfront</t>
        </is>
      </c>
    </row>
    <row r="11">
      <c r="A11" s="6" t="inlineStr">
        <is>
          <t>1-year, all upfront</t>
        </is>
      </c>
      <c r="B11" s="12" t="n">
        <v>0.3</v>
      </c>
      <c r="C11" s="12" t="n">
        <v>0.34</v>
      </c>
      <c r="D11" s="6" t="inlineStr">
        <is>
          <t>1 yr, paid upfront</t>
        </is>
      </c>
    </row>
    <row r="12">
      <c r="A12" s="6" t="inlineStr">
        <is>
          <t>3-year, no upfront</t>
        </is>
      </c>
      <c r="B12" s="12" t="n">
        <v>0.45</v>
      </c>
      <c r="C12" s="12" t="n">
        <v>0.48</v>
      </c>
      <c r="D12" s="6" t="inlineStr">
        <is>
          <t>3 yr, $0 upfront</t>
        </is>
      </c>
    </row>
    <row r="13">
      <c r="A13" s="6" t="inlineStr">
        <is>
          <t>3-year, all upfront</t>
        </is>
      </c>
      <c r="B13" s="12" t="n">
        <v>0.5</v>
      </c>
      <c r="C13" s="12" t="n">
        <v>0.53</v>
      </c>
      <c r="D13" s="6" t="inlineStr">
        <is>
          <t>3 yr, paid upfront</t>
        </is>
      </c>
    </row>
    <row r="15">
      <c r="A15" s="2" t="inlineStr">
        <is>
          <t>Compute savings at the current Inputs scenario</t>
        </is>
      </c>
    </row>
    <row r="16">
      <c r="A16" s="19" t="inlineStr">
        <is>
          <t>On-demand compute (EC2 + RDS) / mo</t>
        </is>
      </c>
      <c r="B16" s="20">
        <f>((Scaling!$B$18+1)*Pricing!$C$5*Inputs!$B$13+Scaling!$B$17*Pricing!$C$7*Inputs!$B$13)+(Scaling!$B$21*Inputs!$B$13)</f>
        <v/>
      </c>
    </row>
    <row r="17">
      <c r="A17" s="19" t="inlineStr">
        <is>
          <t>With selected plan / mo</t>
        </is>
      </c>
      <c r="B17" s="20">
        <f>((Scaling!$B$18+1)*Pricing!$C$5*Inputs!$B$13+Scaling!$B$17*Pricing!$C$7*Inputs!$B$13)*(1-$B$5)+(Scaling!$B$21*Inputs!$B$13)*(1-$B$6)</f>
        <v/>
      </c>
    </row>
    <row r="18">
      <c r="A18" s="21" t="inlineStr">
        <is>
          <t>Monthly savings</t>
        </is>
      </c>
      <c r="B18" s="22">
        <f>B16-B17</f>
        <v/>
      </c>
    </row>
    <row r="19">
      <c r="A19" s="21" t="inlineStr">
        <is>
          <t>Annual savings</t>
        </is>
      </c>
      <c r="B19" s="23">
        <f>B18*12</f>
        <v/>
      </c>
    </row>
    <row r="20">
      <c r="A20" s="19" t="inlineStr">
        <is>
          <t>Effective discount on compute</t>
        </is>
      </c>
      <c r="B20" s="24">
        <f>IFERROR(B18/B16,0)</f>
        <v/>
      </c>
    </row>
    <row r="22">
      <c r="A22" s="25" t="inlineStr">
        <is>
          <t>Note: Savings Plans and RDS Reserved Instances are separate commitments; shown together here for convenience. Lambda is also SP-eligible but immaterial.</t>
        </is>
      </c>
    </row>
  </sheetData>
  <mergeCells count="2">
    <mergeCell ref="A2:E2"/>
    <mergeCell ref="B4:C4"/>
  </mergeCells>
  <dataValidations count="1">
    <dataValidation sqref="B4" showDropDown="0" showInputMessage="0" showErrorMessage="0" allowBlank="0" type="list">
      <formula1>$A$9:$A$13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12" customWidth="1" min="3" max="3"/>
    <col width="22" customWidth="1" min="4" max="4"/>
    <col width="14" customWidth="1" min="5" max="5"/>
    <col width="48" customWidth="1" min="6" max="6"/>
  </cols>
  <sheetData>
    <row r="1">
      <c r="A1" s="1" t="inlineStr">
        <is>
          <t>Fixed / fixed-ish monthly costs (step up with patient count via the Scaling sheet)</t>
        </is>
      </c>
    </row>
    <row r="3">
      <c r="A3" s="5" t="inlineStr">
        <is>
          <t>Component</t>
        </is>
      </c>
      <c r="B3" s="5" t="inlineStr">
        <is>
          <t>Detail</t>
        </is>
      </c>
      <c r="C3" s="5" t="inlineStr">
        <is>
          <t>Qty</t>
        </is>
      </c>
      <c r="D3" s="5" t="inlineStr">
        <is>
          <t>Unit cost basis</t>
        </is>
      </c>
      <c r="E3" s="5" t="inlineStr">
        <is>
          <t>Monthly cost</t>
        </is>
      </c>
      <c r="F3" s="5" t="inlineStr">
        <is>
          <t>Notes</t>
        </is>
      </c>
    </row>
    <row r="4" ht="28" customHeight="1">
      <c r="A4" s="6" t="inlineStr">
        <is>
          <t>EB web tier</t>
        </is>
      </c>
      <c r="B4" s="6" t="inlineStr">
        <is>
          <t>t3.medium x web instances (derived)</t>
        </is>
      </c>
      <c r="C4" s="26">
        <f>Scaling!$B$18</f>
        <v/>
      </c>
      <c r="D4" s="6" t="inlineStr">
        <is>
          <t>instances x t3.medium/hr x hrs</t>
        </is>
      </c>
      <c r="E4" s="20">
        <f>Scaling!$B$18*Pricing!$C$5*Inputs!$B$13*(1-'Savings Plan'!$B$5)</f>
        <v/>
      </c>
      <c r="F4" s="10" t="inlineStr">
        <is>
          <t>Derived from patients (Scaling). Autoscales; raise MaxSize beyond 2. Savings Plan applies.</t>
        </is>
      </c>
    </row>
    <row r="5" ht="28" customHeight="1">
      <c r="A5" s="6" t="inlineStr">
        <is>
          <t>Classic Load Balancer</t>
        </is>
      </c>
      <c r="B5" s="6" t="inlineStr">
        <is>
          <t>1 CLB</t>
        </is>
      </c>
      <c r="C5" s="26" t="n">
        <v>1</v>
      </c>
      <c r="D5" s="6" t="inlineStr">
        <is>
          <t>CLB/hr x hrs</t>
        </is>
      </c>
      <c r="E5" s="20">
        <f>1*Pricing!$C$14*Inputs!$B$13</f>
        <v/>
      </c>
      <c r="F5" s="10" t="inlineStr">
        <is>
          <t>Always running. + $0.008/GB processed (not modelled; small). NOT Savings-Plan eligible.</t>
        </is>
      </c>
    </row>
    <row r="6" ht="28" customHeight="1">
      <c r="A6" s="6" t="inlineStr">
        <is>
          <t>Processing manager</t>
        </is>
      </c>
      <c r="B6" s="6" t="inlineStr">
        <is>
          <t>t3.medium x 1</t>
        </is>
      </c>
      <c r="C6" s="26" t="n">
        <v>1</v>
      </c>
      <c r="D6" s="6" t="inlineStr">
        <is>
          <t>1 x t3.medium/hr x hrs</t>
        </is>
      </c>
      <c r="E6" s="20">
        <f>1*Pricing!$C$5*Inputs!$B$13*(1-'Savings Plan'!$B$5)</f>
        <v/>
      </c>
      <c r="F6" s="10" t="inlineStr">
        <is>
          <t>Celery + RabbitMQ broker run here (no separate broker cost). Savings Plan applies.</t>
        </is>
      </c>
    </row>
    <row r="7" ht="28" customHeight="1">
      <c r="A7" s="6" t="inlineStr">
        <is>
          <t>Processing workers</t>
        </is>
      </c>
      <c r="B7" s="6" t="inlineStr">
        <is>
          <t>m5.large x workers (derived)</t>
        </is>
      </c>
      <c r="C7" s="26">
        <f>Scaling!$B$17</f>
        <v/>
      </c>
      <c r="D7" s="6" t="inlineStr">
        <is>
          <t>workers x m5.large/hr x hrs</t>
        </is>
      </c>
      <c r="E7" s="20">
        <f>Scaling!$B$17*Pricing!$C$7*Inputs!$B$13*(1-'Savings Plan'!$B$5)</f>
        <v/>
      </c>
      <c r="F7" s="10" t="inlineStr">
        <is>
          <t>Derived from patients (Scaling). NOT auto-scaled in Beiwe — manual provisioning. Savings Plan applies.</t>
        </is>
      </c>
    </row>
    <row r="8" ht="28" customHeight="1">
      <c r="A8" s="6" t="inlineStr">
        <is>
          <t>RDS instance</t>
        </is>
      </c>
      <c r="B8" s="6" t="inlineStr">
        <is>
          <t>class derived from workers</t>
        </is>
      </c>
      <c r="C8" s="26">
        <f>Scaling!$B$20</f>
        <v/>
      </c>
      <c r="D8" s="6" t="inlineStr">
        <is>
          <t>chosen class/hr x hrs</t>
        </is>
      </c>
      <c r="E8" s="20">
        <f>Scaling!$B$21*Inputs!$B$13*(1-'Savings Plan'!$B$6)</f>
        <v/>
      </c>
      <c r="F8" s="10" t="inlineStr">
        <is>
          <t>Steps large-&gt;xlarge-&gt;2xlarge-&gt;4xlarge as load grows. RDS Reserved Instance discount applies.</t>
        </is>
      </c>
    </row>
    <row r="9" ht="28" customHeight="1">
      <c r="A9" s="6" t="inlineStr">
        <is>
          <t>RDS storage</t>
        </is>
      </c>
      <c r="B9" s="6" t="inlineStr">
        <is>
          <t>gp2 (derived from DB growth)</t>
        </is>
      </c>
      <c r="C9" s="26">
        <f>Scaling!$B$19</f>
        <v/>
      </c>
      <c r="D9" s="6" t="inlineStr">
        <is>
          <t>GB x $/GB-mo</t>
        </is>
      </c>
      <c r="E9" s="20">
        <f>Scaling!$B$19*Pricing!$C$12</f>
        <v/>
      </c>
      <c r="F9" s="10" t="inlineStr">
        <is>
          <t>Grows with ChunkRegistry + UploadTracking. Min 50 GB.</t>
        </is>
      </c>
    </row>
    <row r="10" ht="28" customHeight="1">
      <c r="A10" s="6" t="inlineStr">
        <is>
          <t>RDS backups</t>
        </is>
      </c>
      <c r="B10" s="6" t="inlineStr">
        <is>
          <t>35-day retention</t>
        </is>
      </c>
      <c r="C10" s="26" t="n">
        <v>0</v>
      </c>
      <c r="D10" s="6" t="inlineStr">
        <is>
          <t>GB beyond free x $/GB-mo</t>
        </is>
      </c>
      <c r="E10" s="20">
        <f>0*Pricing!$C$13</f>
        <v/>
      </c>
      <c r="F10" s="10" t="inlineStr">
        <is>
          <t>Free up to 100% of provisioned storage. Set qty&gt;0 if backup volume exceeds that.</t>
        </is>
      </c>
    </row>
    <row r="11" ht="28" customHeight="1">
      <c r="A11" s="6" t="inlineStr">
        <is>
          <t>EBS volumes</t>
        </is>
      </c>
      <c r="B11" s="6" t="inlineStr">
        <is>
          <t>root volumes (web + mgr + workers)</t>
        </is>
      </c>
      <c r="C11" s="26">
        <f>(Scaling!$B$18+1+Scaling!$B$17)*Inputs!$B$10</f>
        <v/>
      </c>
      <c r="D11" s="6" t="inlineStr">
        <is>
          <t>total GB x $/GB-mo</t>
        </is>
      </c>
      <c r="E11" s="20">
        <f>(Scaling!$B$18+1+Scaling!$B$17)*Inputs!$B$10*Pricing!$C$16</f>
        <v/>
      </c>
      <c r="F11" s="10" t="inlineStr">
        <is>
          <t>Root disks for EC2 instances (RDS storage counted separately).</t>
        </is>
      </c>
    </row>
    <row r="12" ht="28" customHeight="1">
      <c r="A12" s="6" t="inlineStr">
        <is>
          <t>Secrets Manager</t>
        </is>
      </c>
      <c r="B12" s="6" t="inlineStr">
        <is>
          <t>deploy credentials</t>
        </is>
      </c>
      <c r="C12" s="26" t="n">
        <v>1</v>
      </c>
      <c r="D12" s="6" t="inlineStr">
        <is>
          <t>secrets x $/secret-mo</t>
        </is>
      </c>
      <c r="E12" s="20">
        <f>1*Pricing!$C$28</f>
        <v/>
      </c>
      <c r="F12" s="10" t="inlineStr">
        <is>
          <t>beiwe-deploy-credentials (prerequisites stack).</t>
        </is>
      </c>
    </row>
    <row r="13" ht="28" customHeight="1">
      <c r="A13" s="6" t="inlineStr">
        <is>
          <t>Route 53</t>
        </is>
      </c>
      <c r="B13" s="6" t="inlineStr">
        <is>
          <t>1 hosted zone</t>
        </is>
      </c>
      <c r="C13" s="26" t="n">
        <v>1</v>
      </c>
      <c r="D13" s="6" t="inlineStr">
        <is>
          <t>zone x $/mo</t>
        </is>
      </c>
      <c r="E13" s="20">
        <f>1*Pricing!$C$29</f>
        <v/>
      </c>
      <c r="F13" s="10" t="inlineStr">
        <is>
          <t>Domain hosting (if used).</t>
        </is>
      </c>
    </row>
    <row r="14" ht="28" customHeight="1">
      <c r="A14" s="6" t="inlineStr">
        <is>
          <t>CloudWatch</t>
        </is>
      </c>
      <c r="B14" s="6" t="inlineStr">
        <is>
          <t>logs + metrics</t>
        </is>
      </c>
      <c r="C14" s="26" t="n">
        <v>1</v>
      </c>
      <c r="D14" s="6" t="inlineStr">
        <is>
          <t>estimate</t>
        </is>
      </c>
      <c r="E14" s="20">
        <f>1*Pricing!$C$30</f>
        <v/>
      </c>
      <c r="F14" s="10" t="inlineStr">
        <is>
          <t>Rough allowance incl. metadata-index Lambda logs/metrics.</t>
        </is>
      </c>
    </row>
    <row r="15" ht="28" customHeight="1">
      <c r="A15" s="6" t="inlineStr">
        <is>
          <t>Metadata index (idle baseline)</t>
        </is>
      </c>
      <c r="B15" s="6" t="inlineStr">
        <is>
          <t>DynamoDB + SQS + Lambda + EventBridge</t>
        </is>
      </c>
      <c r="C15" s="26" t="n">
        <v>1</v>
      </c>
      <c r="D15" s="6" t="inlineStr">
        <is>
          <t>pay-per-request</t>
        </is>
      </c>
      <c r="E15" s="20">
        <f>0</f>
        <v/>
      </c>
      <c r="F15" s="10" t="inlineStr">
        <is>
          <t>Cost $0 when idle; usage-based cost is in Per-Patient Costs.</t>
        </is>
      </c>
    </row>
    <row r="16" ht="28" customHeight="1">
      <c r="A16" s="6" t="inlineStr">
        <is>
          <t>Nightly pause scheduler</t>
        </is>
      </c>
      <c r="B16" s="6" t="inlineStr">
        <is>
          <t>EventBridge Scheduler + Lambda</t>
        </is>
      </c>
      <c r="C16" s="26" t="n">
        <v>1</v>
      </c>
      <c r="D16" s="6" t="inlineStr">
        <is>
          <t>optional</t>
        </is>
      </c>
      <c r="E16" s="20">
        <f>0</f>
        <v/>
      </c>
      <c r="F16" s="10" t="inlineStr">
        <is>
          <t>feat/ut-setup option; negligible to run. Would REDUCE compute lines if enabled. Not applied in this always-on model.</t>
        </is>
      </c>
    </row>
    <row r="17">
      <c r="A17" s="27" t="inlineStr">
        <is>
          <t>FIXED MONTHLY SUBTOTAL</t>
        </is>
      </c>
      <c r="B17" s="28" t="n"/>
      <c r="C17" s="28" t="n"/>
      <c r="D17" s="28" t="n"/>
      <c r="E17" s="29">
        <f>SUM(E4:E16)</f>
        <v/>
      </c>
      <c r="F17" s="2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4" customWidth="1" min="3" max="3"/>
    <col width="50" customWidth="1" min="4" max="4"/>
  </cols>
  <sheetData>
    <row r="1">
      <c r="A1" s="1" t="inlineStr">
        <is>
          <t>Per-patient (variable) monthly costs</t>
        </is>
      </c>
    </row>
    <row r="2" ht="30" customHeight="1">
      <c r="A2" s="4" t="inlineStr">
        <is>
          <t>These scale linearly with patients (no step-functions). Storage is cumulative: the figures are the recurring monthly bill for the FULL dataset once all patients have completed collection (the steady-state peak).</t>
        </is>
      </c>
    </row>
    <row r="4">
      <c r="A4" s="2" t="inlineStr">
        <is>
          <t>Derived dataset totals</t>
        </is>
      </c>
    </row>
    <row r="5">
      <c r="A5" s="6" t="inlineStr">
        <is>
          <t>Total chunked data stored (GB)</t>
        </is>
      </c>
      <c r="B5" s="30">
        <f>Inputs!$B$5*Inputs!$B$6*Inputs!$B$7</f>
        <v/>
      </c>
    </row>
    <row r="6">
      <c r="A6" s="6" t="inlineStr">
        <is>
          <t>Total raw uploads stored (GB)</t>
        </is>
      </c>
      <c r="B6" s="30">
        <f>B5*Inputs!$B$8</f>
        <v/>
      </c>
    </row>
    <row r="7">
      <c r="A7" s="6" t="inlineStr">
        <is>
          <t>Total S3 data stored (GB)</t>
        </is>
      </c>
      <c r="B7" s="30">
        <f>B5+B6</f>
        <v/>
      </c>
    </row>
    <row r="8">
      <c r="A8" s="6" t="inlineStr">
        <is>
          <t xml:space="preserve">  ... in Glacier Deep Archive (GB)</t>
        </is>
      </c>
      <c r="B8" s="30">
        <f>B7*Inputs!$B$9</f>
        <v/>
      </c>
    </row>
    <row r="9">
      <c r="A9" s="6" t="inlineStr">
        <is>
          <t xml:space="preserve">  ... in S3 Standard (GB)</t>
        </is>
      </c>
      <c r="B9" s="30">
        <f>B7-B8</f>
        <v/>
      </c>
    </row>
    <row r="10">
      <c r="A10" s="6" t="inlineStr">
        <is>
          <t>Raw uploads per month (all patients)</t>
        </is>
      </c>
      <c r="B10" s="13">
        <f>Inputs!$B$5*Inputs!$B$11*Inputs!$B$14</f>
        <v/>
      </c>
    </row>
    <row r="12">
      <c r="A12" s="5" t="inlineStr">
        <is>
          <t>Component</t>
        </is>
      </c>
      <c r="B12" s="5" t="inlineStr">
        <is>
          <t>Basis</t>
        </is>
      </c>
      <c r="C12" s="5" t="inlineStr">
        <is>
          <t>Monthly cost</t>
        </is>
      </c>
      <c r="D12" s="5" t="inlineStr">
        <is>
          <t>Notes</t>
        </is>
      </c>
    </row>
    <row r="13" ht="28" customHeight="1">
      <c r="A13" s="6" t="inlineStr">
        <is>
          <t>S3 storage — Standard</t>
        </is>
      </c>
      <c r="B13" s="6" t="inlineStr">
        <is>
          <t>standard GB x $/GB-mo</t>
        </is>
      </c>
      <c r="C13" s="20">
        <f>B9*Pricing!$C$17</f>
        <v/>
      </c>
      <c r="D13" s="10" t="inlineStr">
        <is>
          <t>Raw + chunked, compressed. The dominant per-patient cost.</t>
        </is>
      </c>
    </row>
    <row r="14" ht="28" customHeight="1">
      <c r="A14" s="6" t="inlineStr">
        <is>
          <t>S3 storage — Glacier Deep Archive</t>
        </is>
      </c>
      <c r="B14" s="6" t="inlineStr">
        <is>
          <t>archived GB x $/GB-mo</t>
        </is>
      </c>
      <c r="C14" s="20">
        <f>B8*Pricing!$C$18</f>
        <v/>
      </c>
      <c r="D14" s="10" t="inlineStr">
        <is>
          <t>Only if a fraction is archived (Inputs).</t>
        </is>
      </c>
    </row>
    <row r="15" ht="28" customHeight="1">
      <c r="A15" s="6" t="inlineStr">
        <is>
          <t>S3 PUT requests</t>
        </is>
      </c>
      <c r="B15" s="6" t="inlineStr">
        <is>
          <t>uploads x 2 (raw + chunk write)</t>
        </is>
      </c>
      <c r="C15" s="20">
        <f>B10*2/1000*Pricing!$C$19</f>
        <v/>
      </c>
      <c r="D15" s="10" t="inlineStr">
        <is>
          <t>Raw upload write + processed chunk write per upload.</t>
        </is>
      </c>
    </row>
    <row r="16" ht="28" customHeight="1">
      <c r="A16" s="6" t="inlineStr">
        <is>
          <t>S3 GET requests</t>
        </is>
      </c>
      <c r="B16" s="6" t="inlineStr">
        <is>
          <t>uploads x 1 (processing reads)</t>
        </is>
      </c>
      <c r="C16" s="20">
        <f>B10*1/1000*Pricing!$C$20</f>
        <v/>
      </c>
      <c r="D16" s="10" t="inlineStr">
        <is>
          <t>Processing pipeline reads. Tiny.</t>
        </is>
      </c>
    </row>
    <row r="17" ht="28" customHeight="1">
      <c r="A17" s="6" t="inlineStr">
        <is>
          <t>DynamoDB metadata index — writes</t>
        </is>
      </c>
      <c r="B17" s="6" t="inlineStr">
        <is>
          <t>uploads x writes/upload x $/M WRU</t>
        </is>
      </c>
      <c r="C17" s="20">
        <f>B10*Inputs!$B$15/1000000*Pricing!$C$21</f>
        <v/>
      </c>
      <c r="D17" s="10" t="inlineStr">
        <is>
          <t>5 writes/upload (Inputs). On-demand.</t>
        </is>
      </c>
    </row>
    <row r="18" ht="28" customHeight="1">
      <c r="A18" s="6" t="inlineStr">
        <is>
          <t>DynamoDB metadata index — storage</t>
        </is>
      </c>
      <c r="B18" s="6" t="inlineStr">
        <is>
          <t>90-day marker retention</t>
        </is>
      </c>
      <c r="C18" s="20">
        <f>Inputs!$B$5*Inputs!$B$11*90*0.0000003*Pricing!$C$23</f>
        <v/>
      </c>
      <c r="D18" s="10" t="inlineStr">
        <is>
          <t>~0.3 KB/marker, TTL 90 days, + small rollups. Negligible.</t>
        </is>
      </c>
    </row>
    <row r="19" ht="28" customHeight="1">
      <c r="A19" s="6" t="inlineStr">
        <is>
          <t>SQS (metadata index)</t>
        </is>
      </c>
      <c r="B19" s="6" t="inlineStr">
        <is>
          <t>max(0, msgs - 1M free) x $/M</t>
        </is>
      </c>
      <c r="C19" s="20">
        <f>MAX(0,B10-1000000)/1000000*Pricing!$C$26</f>
        <v/>
      </c>
      <c r="D19" s="10" t="inlineStr">
        <is>
          <t>1 message/upload; first 1M/mo free.</t>
        </is>
      </c>
    </row>
    <row r="20" ht="28" customHeight="1">
      <c r="A20" s="6" t="inlineStr">
        <is>
          <t>Lambda (metadata index)</t>
        </is>
      </c>
      <c r="B20" s="6" t="inlineStr">
        <is>
          <t>invocations (batches of 10) + GB-sec</t>
        </is>
      </c>
      <c r="C20" s="20">
        <f>(B10/10/1000000*Pricing!$C$24)+(B10/10*0.256*0.2*Pricing!$C$25)</f>
        <v/>
      </c>
      <c r="D20" s="10" t="inlineStr">
        <is>
          <t>256 MB, ~0.2 s/batch of 10. Mostly free-tier.</t>
        </is>
      </c>
    </row>
    <row r="21" ht="28" customHeight="1">
      <c r="A21" s="6" t="inlineStr">
        <is>
          <t>Data egress</t>
        </is>
      </c>
      <c r="B21" s="6" t="inlineStr">
        <is>
          <t>max(0, GB - 100 free) x $/GB</t>
        </is>
      </c>
      <c r="C21" s="20">
        <f>MAX(0,Inputs!$B$12-100)*Pricing!$C$27</f>
        <v/>
      </c>
      <c r="D21" s="10" t="inlineStr">
        <is>
          <t>Researcher downloads of participant data.</t>
        </is>
      </c>
    </row>
    <row r="22">
      <c r="A22" s="27" t="inlineStr">
        <is>
          <t>PER-PATIENT MONTHLY SUBTOTAL (full dataset)</t>
        </is>
      </c>
      <c r="B22" s="28" t="n"/>
      <c r="C22" s="29">
        <f>SUM(C13:C21)</f>
        <v/>
      </c>
      <c r="D22" s="28" t="n"/>
    </row>
    <row r="23">
      <c r="A23" s="8" t="inlineStr">
        <is>
          <t>Per patient, per month of participation</t>
        </is>
      </c>
      <c r="C23" s="31">
        <f>C22/Inputs!$B$5/Inputs!$B$6</f>
        <v/>
      </c>
    </row>
  </sheetData>
  <mergeCells count="1"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Total cost summary (current Inputs scenario)</t>
        </is>
      </c>
    </row>
    <row r="2">
      <c r="A2" s="4" t="inlineStr">
        <is>
          <t>Always-on production in us-east-1, including the metadata-index layer. Server capacity is derived from the patient count; see the Tiers sheet for the step-ups.</t>
        </is>
      </c>
    </row>
    <row r="4">
      <c r="A4" s="21" t="inlineStr">
        <is>
          <t>Fixed monthly costs (servers, LB, RDS, overhead)</t>
        </is>
      </c>
      <c r="B4" s="22">
        <f>'Fixed Costs'!E17</f>
        <v/>
      </c>
    </row>
    <row r="5">
      <c r="A5" s="21" t="inlineStr">
        <is>
          <t>Per-patient monthly costs (storage, requests, index)</t>
        </is>
      </c>
      <c r="B5" s="22">
        <f>'Per-Patient Costs'!C22</f>
        <v/>
      </c>
    </row>
    <row r="6">
      <c r="A6" s="32" t="inlineStr">
        <is>
          <t>TOTAL MONTHLY</t>
        </is>
      </c>
      <c r="B6" s="33">
        <f>B4+B5</f>
        <v/>
      </c>
    </row>
    <row r="7">
      <c r="A7" s="32" t="inlineStr">
        <is>
          <t>TOTAL ANNUAL</t>
        </is>
      </c>
      <c r="B7" s="33">
        <f>B6*12</f>
        <v/>
      </c>
    </row>
    <row r="9">
      <c r="A9" s="19" t="inlineStr">
        <is>
          <t>Number of patients</t>
        </is>
      </c>
      <c r="B9" s="34">
        <f>Inputs!$B$5</f>
        <v/>
      </c>
    </row>
    <row r="10">
      <c r="A10" s="19" t="inlineStr">
        <is>
          <t>Total cost per patient / month (all-in)</t>
        </is>
      </c>
      <c r="B10" s="20">
        <f>B6/Inputs!$B$5</f>
        <v/>
      </c>
    </row>
    <row r="11">
      <c r="A11" s="19" t="inlineStr">
        <is>
          <t>Variable cost per patient / month of participation</t>
        </is>
      </c>
      <c r="B11" s="20">
        <f>'Per-Patient Costs'!C23</f>
        <v/>
      </c>
    </row>
    <row r="13">
      <c r="A13" s="35" t="inlineStr">
        <is>
          <t>STUDY TOTAL — collection period</t>
        </is>
      </c>
      <c r="B13" s="36" t="n"/>
    </row>
    <row r="14">
      <c r="A14" s="19" t="inlineStr">
        <is>
          <t>Months of data collection</t>
        </is>
      </c>
      <c r="B14" s="34">
        <f>Inputs!$B$6</f>
        <v/>
      </c>
    </row>
    <row r="15">
      <c r="A15" s="32" t="inlineStr">
        <is>
          <t>Approx. total to run the platform for the study</t>
        </is>
      </c>
      <c r="B15" s="37">
        <f>B6*Inputs!$B$6</f>
        <v/>
      </c>
    </row>
    <row r="16">
      <c r="A16" s="19" t="inlineStr">
        <is>
          <t>Approx. total per patient (whole study)</t>
        </is>
      </c>
      <c r="B16" s="20">
        <f>B15/Inputs!$B$5</f>
        <v/>
      </c>
    </row>
    <row r="17">
      <c r="A17" s="19" t="inlineStr">
        <is>
          <t>Storage-only cost/mo after collection (retention)</t>
        </is>
      </c>
      <c r="B17" s="20">
        <f>'Per-Patient Costs'!C22</f>
        <v/>
      </c>
    </row>
    <row r="19" ht="28" customHeight="1">
      <c r="A19" s="4" t="inlineStr">
        <is>
          <t>Includes: AWS infrastructure for data collection, storage, and query only.</t>
        </is>
      </c>
    </row>
    <row r="20" ht="28" customHeight="1">
      <c r="A20" s="4" t="inlineStr">
        <is>
          <t>Excludes: personnel, participant devices/incentives, and analysis compute.</t>
        </is>
      </c>
    </row>
    <row r="21" ht="28" customHeight="1">
      <c r="A21" s="4" t="inlineStr">
        <is>
          <t>Fixed infrastructure runs continuously and dominates at this scale; after collection ends you can pause/downsize servers and retain data cheaply (S3 / Glacier).</t>
        </is>
      </c>
    </row>
    <row r="22" ht="28" customHeight="1">
      <c r="A22" s="4" t="inlineStr">
        <is>
          <t>Pricing is us-east-1 on-demand list price as of the Pricing-sheet build date — a dynamic estimate, not a fixed quote.</t>
        </is>
      </c>
    </row>
  </sheetData>
  <mergeCells count="5">
    <mergeCell ref="A22:D22"/>
    <mergeCell ref="A20:D20"/>
    <mergeCell ref="A21:D21"/>
    <mergeCell ref="A19:D19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Cost by patient tier — where the step-ups happen</t>
        </is>
      </c>
    </row>
    <row r="2" ht="30" customHeight="1">
      <c r="A2" s="4" t="inlineStr">
        <is>
          <t>Each column recomputes the full stack from its patient count, using the same Scaling ratios, Pricing, and per-patient assumptions. Edit the patient counts in row 4. Watch Workers and the RDS class/storage step up across the columns. The 25-patient column is the planned grant scenario.</t>
        </is>
      </c>
    </row>
    <row r="4">
      <c r="A4" s="8" t="inlineStr">
        <is>
          <t>Enrolled patients</t>
        </is>
      </c>
      <c r="B4" s="38" t="n">
        <v>25</v>
      </c>
      <c r="C4" s="38" t="n">
        <v>100</v>
      </c>
      <c r="D4" s="38" t="n">
        <v>500</v>
      </c>
      <c r="E4" s="38" t="n">
        <v>1000</v>
      </c>
      <c r="F4" s="38" t="n">
        <v>5000</v>
      </c>
      <c r="G4" s="38" t="n">
        <v>25000</v>
      </c>
    </row>
    <row r="5">
      <c r="A5" s="39" t="inlineStr">
        <is>
          <t>Derived capacity</t>
        </is>
      </c>
      <c r="B5" s="40" t="n"/>
      <c r="C5" s="40" t="n"/>
      <c r="D5" s="40" t="n"/>
      <c r="E5" s="40" t="n"/>
      <c r="F5" s="40" t="n"/>
    </row>
    <row r="6">
      <c r="A6" s="6" t="inlineStr">
        <is>
          <t>Worker boxes (m5.large)</t>
        </is>
      </c>
      <c r="B6" s="34">
        <f>ROUND(CEILING(MAX(0,B$4-Scaling!$B$5)/Scaling!$B$6,1),0)</f>
        <v/>
      </c>
      <c r="C6" s="34">
        <f>ROUND(CEILING(MAX(0,C$4-Scaling!$B$5)/Scaling!$B$6,1),0)</f>
        <v/>
      </c>
      <c r="D6" s="34">
        <f>ROUND(CEILING(MAX(0,D$4-Scaling!$B$5)/Scaling!$B$6,1),0)</f>
        <v/>
      </c>
      <c r="E6" s="34">
        <f>ROUND(CEILING(MAX(0,E$4-Scaling!$B$5)/Scaling!$B$6,1),0)</f>
        <v/>
      </c>
      <c r="F6" s="34">
        <f>ROUND(CEILING(MAX(0,F$4-Scaling!$B$5)/Scaling!$B$6,1),0)</f>
        <v/>
      </c>
      <c r="G6" s="34">
        <f>ROUND(CEILING(MAX(0,G$4-Scaling!$B$5)/Scaling!$B$6,1),0)</f>
        <v/>
      </c>
    </row>
    <row r="7">
      <c r="A7" s="6" t="inlineStr">
        <is>
          <t>Web instances</t>
        </is>
      </c>
      <c r="B7" s="34">
        <f>ROUND(MAX(Scaling!$B$8,CEILING(B$4/Scaling!$B$7,1)),0)</f>
        <v/>
      </c>
      <c r="C7" s="34">
        <f>ROUND(MAX(Scaling!$B$8,CEILING(C$4/Scaling!$B$7,1)),0)</f>
        <v/>
      </c>
      <c r="D7" s="34">
        <f>ROUND(MAX(Scaling!$B$8,CEILING(D$4/Scaling!$B$7,1)),0)</f>
        <v/>
      </c>
      <c r="E7" s="34">
        <f>ROUND(MAX(Scaling!$B$8,CEILING(E$4/Scaling!$B$7,1)),0)</f>
        <v/>
      </c>
      <c r="F7" s="34">
        <f>ROUND(MAX(Scaling!$B$8,CEILING(F$4/Scaling!$B$7,1)),0)</f>
        <v/>
      </c>
      <c r="G7" s="34">
        <f>ROUND(MAX(Scaling!$B$8,CEILING(G$4/Scaling!$B$7,1)),0)</f>
        <v/>
      </c>
    </row>
    <row r="8">
      <c r="A8" s="6" t="inlineStr">
        <is>
          <t>RDS storage (GB)</t>
        </is>
      </c>
      <c r="B8" s="34">
        <f>ROUND(MAX(50,ROUNDUP(B$4*Inputs!$B$6*(Scaling!$B$9+Inputs!$B$11)*Inputs!$B$14*Scaling!$B$10/1000000*Scaling!$B$11,0)),0)</f>
        <v/>
      </c>
      <c r="C8" s="34">
        <f>ROUND(MAX(50,ROUNDUP(C$4*Inputs!$B$6*(Scaling!$B$9+Inputs!$B$11)*Inputs!$B$14*Scaling!$B$10/1000000*Scaling!$B$11,0)),0)</f>
        <v/>
      </c>
      <c r="D8" s="34">
        <f>ROUND(MAX(50,ROUNDUP(D$4*Inputs!$B$6*(Scaling!$B$9+Inputs!$B$11)*Inputs!$B$14*Scaling!$B$10/1000000*Scaling!$B$11,0)),0)</f>
        <v/>
      </c>
      <c r="E8" s="34">
        <f>ROUND(MAX(50,ROUNDUP(E$4*Inputs!$B$6*(Scaling!$B$9+Inputs!$B$11)*Inputs!$B$14*Scaling!$B$10/1000000*Scaling!$B$11,0)),0)</f>
        <v/>
      </c>
      <c r="F8" s="34">
        <f>ROUND(MAX(50,ROUNDUP(F$4*Inputs!$B$6*(Scaling!$B$9+Inputs!$B$11)*Inputs!$B$14*Scaling!$B$10/1000000*Scaling!$B$11,0)),0)</f>
        <v/>
      </c>
      <c r="G8" s="34">
        <f>ROUND(MAX(50,ROUNDUP(G$4*Inputs!$B$6*(Scaling!$B$9+Inputs!$B$11)*Inputs!$B$14*Scaling!$B$10/1000000*Scaling!$B$11,0)),0)</f>
        <v/>
      </c>
    </row>
    <row r="9">
      <c r="A9" s="6" t="inlineStr">
        <is>
          <t>RDS instance class</t>
        </is>
      </c>
      <c r="B9" s="6">
        <f>IF(B$6&gt;=Scaling!$B$14,"db.m5.4xlarge",IF(B$6&gt;=Scaling!$B$13,"db.m5.2xlarge",IF(B$6&gt;=Scaling!$B$12,"db.m5.xlarge","db.m5.large")))</f>
        <v/>
      </c>
      <c r="C9" s="6">
        <f>IF(C$6&gt;=Scaling!$B$14,"db.m5.4xlarge",IF(C$6&gt;=Scaling!$B$13,"db.m5.2xlarge",IF(C$6&gt;=Scaling!$B$12,"db.m5.xlarge","db.m5.large")))</f>
        <v/>
      </c>
      <c r="D9" s="6">
        <f>IF(D$6&gt;=Scaling!$B$14,"db.m5.4xlarge",IF(D$6&gt;=Scaling!$B$13,"db.m5.2xlarge",IF(D$6&gt;=Scaling!$B$12,"db.m5.xlarge","db.m5.large")))</f>
        <v/>
      </c>
      <c r="E9" s="6">
        <f>IF(E$6&gt;=Scaling!$B$14,"db.m5.4xlarge",IF(E$6&gt;=Scaling!$B$13,"db.m5.2xlarge",IF(E$6&gt;=Scaling!$B$12,"db.m5.xlarge","db.m5.large")))</f>
        <v/>
      </c>
      <c r="F9" s="6">
        <f>IF(F$6&gt;=Scaling!$B$14,"db.m5.4xlarge",IF(F$6&gt;=Scaling!$B$13,"db.m5.2xlarge",IF(F$6&gt;=Scaling!$B$12,"db.m5.xlarge","db.m5.large")))</f>
        <v/>
      </c>
      <c r="G9" s="6">
        <f>IF(G$6&gt;=Scaling!$B$14,"db.m5.4xlarge",IF(G$6&gt;=Scaling!$B$13,"db.m5.2xlarge",IF(G$6&gt;=Scaling!$B$12,"db.m5.xlarge","db.m5.large")))</f>
        <v/>
      </c>
    </row>
    <row r="10">
      <c r="A10" s="39" t="inlineStr">
        <is>
          <t>Fixed monthly cost</t>
        </is>
      </c>
      <c r="B10" s="40" t="n"/>
      <c r="C10" s="40" t="n"/>
      <c r="D10" s="40" t="n"/>
      <c r="E10" s="40" t="n"/>
      <c r="F10" s="40" t="n"/>
    </row>
    <row r="11">
      <c r="A11" s="6" t="inlineStr">
        <is>
          <t>EB web tier</t>
        </is>
      </c>
      <c r="B11" s="20">
        <f>B$7*Pricing!$C$5*Inputs!$B$13*(1-'Savings Plan'!$B$5)</f>
        <v/>
      </c>
      <c r="C11" s="20">
        <f>C$7*Pricing!$C$5*Inputs!$B$13*(1-'Savings Plan'!$B$5)</f>
        <v/>
      </c>
      <c r="D11" s="20">
        <f>D$7*Pricing!$C$5*Inputs!$B$13*(1-'Savings Plan'!$B$5)</f>
        <v/>
      </c>
      <c r="E11" s="20">
        <f>E$7*Pricing!$C$5*Inputs!$B$13*(1-'Savings Plan'!$B$5)</f>
        <v/>
      </c>
      <c r="F11" s="20">
        <f>F$7*Pricing!$C$5*Inputs!$B$13*(1-'Savings Plan'!$B$5)</f>
        <v/>
      </c>
      <c r="G11" s="20">
        <f>G$7*Pricing!$C$5*Inputs!$B$13*(1-'Savings Plan'!$B$5)</f>
        <v/>
      </c>
    </row>
    <row r="12">
      <c r="A12" s="6" t="inlineStr">
        <is>
          <t>Classic Load Balancer</t>
        </is>
      </c>
      <c r="B12" s="20">
        <f>Pricing!$C$14*Inputs!$B$13</f>
        <v/>
      </c>
      <c r="C12" s="20">
        <f>Pricing!$C$14*Inputs!$B$13</f>
        <v/>
      </c>
      <c r="D12" s="20">
        <f>Pricing!$C$14*Inputs!$B$13</f>
        <v/>
      </c>
      <c r="E12" s="20">
        <f>Pricing!$C$14*Inputs!$B$13</f>
        <v/>
      </c>
      <c r="F12" s="20">
        <f>Pricing!$C$14*Inputs!$B$13</f>
        <v/>
      </c>
      <c r="G12" s="20">
        <f>Pricing!$C$14*Inputs!$B$13</f>
        <v/>
      </c>
    </row>
    <row r="13">
      <c r="A13" s="6" t="inlineStr">
        <is>
          <t>Processing manager</t>
        </is>
      </c>
      <c r="B13" s="20">
        <f>Pricing!$C$5*Inputs!$B$13*(1-'Savings Plan'!$B$5)</f>
        <v/>
      </c>
      <c r="C13" s="20">
        <f>Pricing!$C$5*Inputs!$B$13*(1-'Savings Plan'!$B$5)</f>
        <v/>
      </c>
      <c r="D13" s="20">
        <f>Pricing!$C$5*Inputs!$B$13*(1-'Savings Plan'!$B$5)</f>
        <v/>
      </c>
      <c r="E13" s="20">
        <f>Pricing!$C$5*Inputs!$B$13*(1-'Savings Plan'!$B$5)</f>
        <v/>
      </c>
      <c r="F13" s="20">
        <f>Pricing!$C$5*Inputs!$B$13*(1-'Savings Plan'!$B$5)</f>
        <v/>
      </c>
      <c r="G13" s="20">
        <f>Pricing!$C$5*Inputs!$B$13*(1-'Savings Plan'!$B$5)</f>
        <v/>
      </c>
    </row>
    <row r="14">
      <c r="A14" s="6" t="inlineStr">
        <is>
          <t>Processing workers</t>
        </is>
      </c>
      <c r="B14" s="20">
        <f>B$6*Pricing!$C$7*Inputs!$B$13*(1-'Savings Plan'!$B$5)</f>
        <v/>
      </c>
      <c r="C14" s="20">
        <f>C$6*Pricing!$C$7*Inputs!$B$13*(1-'Savings Plan'!$B$5)</f>
        <v/>
      </c>
      <c r="D14" s="20">
        <f>D$6*Pricing!$C$7*Inputs!$B$13*(1-'Savings Plan'!$B$5)</f>
        <v/>
      </c>
      <c r="E14" s="20">
        <f>E$6*Pricing!$C$7*Inputs!$B$13*(1-'Savings Plan'!$B$5)</f>
        <v/>
      </c>
      <c r="F14" s="20">
        <f>F$6*Pricing!$C$7*Inputs!$B$13*(1-'Savings Plan'!$B$5)</f>
        <v/>
      </c>
      <c r="G14" s="20">
        <f>G$6*Pricing!$C$7*Inputs!$B$13*(1-'Savings Plan'!$B$5)</f>
        <v/>
      </c>
    </row>
    <row r="15">
      <c r="A15" s="6" t="inlineStr">
        <is>
          <t>RDS instance</t>
        </is>
      </c>
      <c r="B15" s="20">
        <f>(IF(B$6&gt;=Scaling!$B$14,Pricing!$C$11,IF(B$6&gt;=Scaling!$B$13,Pricing!$C$10,IF(B$6&gt;=Scaling!$B$12,Pricing!$C$9,Pricing!$C$8))))*Inputs!$B$13*(1-'Savings Plan'!$B$6)</f>
        <v/>
      </c>
      <c r="C15" s="20">
        <f>(IF(C$6&gt;=Scaling!$B$14,Pricing!$C$11,IF(C$6&gt;=Scaling!$B$13,Pricing!$C$10,IF(C$6&gt;=Scaling!$B$12,Pricing!$C$9,Pricing!$C$8))))*Inputs!$B$13*(1-'Savings Plan'!$B$6)</f>
        <v/>
      </c>
      <c r="D15" s="20">
        <f>(IF(D$6&gt;=Scaling!$B$14,Pricing!$C$11,IF(D$6&gt;=Scaling!$B$13,Pricing!$C$10,IF(D$6&gt;=Scaling!$B$12,Pricing!$C$9,Pricing!$C$8))))*Inputs!$B$13*(1-'Savings Plan'!$B$6)</f>
        <v/>
      </c>
      <c r="E15" s="20">
        <f>(IF(E$6&gt;=Scaling!$B$14,Pricing!$C$11,IF(E$6&gt;=Scaling!$B$13,Pricing!$C$10,IF(E$6&gt;=Scaling!$B$12,Pricing!$C$9,Pricing!$C$8))))*Inputs!$B$13*(1-'Savings Plan'!$B$6)</f>
        <v/>
      </c>
      <c r="F15" s="20">
        <f>(IF(F$6&gt;=Scaling!$B$14,Pricing!$C$11,IF(F$6&gt;=Scaling!$B$13,Pricing!$C$10,IF(F$6&gt;=Scaling!$B$12,Pricing!$C$9,Pricing!$C$8))))*Inputs!$B$13*(1-'Savings Plan'!$B$6)</f>
        <v/>
      </c>
      <c r="G15" s="20">
        <f>(IF(G$6&gt;=Scaling!$B$14,Pricing!$C$11,IF(G$6&gt;=Scaling!$B$13,Pricing!$C$10,IF(G$6&gt;=Scaling!$B$12,Pricing!$C$9,Pricing!$C$8))))*Inputs!$B$13*(1-'Savings Plan'!$B$6)</f>
        <v/>
      </c>
    </row>
    <row r="16">
      <c r="A16" s="6" t="inlineStr">
        <is>
          <t>RDS storage</t>
        </is>
      </c>
      <c r="B16" s="20">
        <f>B$8*Pricing!$C$12</f>
        <v/>
      </c>
      <c r="C16" s="20">
        <f>C$8*Pricing!$C$12</f>
        <v/>
      </c>
      <c r="D16" s="20">
        <f>D$8*Pricing!$C$12</f>
        <v/>
      </c>
      <c r="E16" s="20">
        <f>E$8*Pricing!$C$12</f>
        <v/>
      </c>
      <c r="F16" s="20">
        <f>F$8*Pricing!$C$12</f>
        <v/>
      </c>
      <c r="G16" s="20">
        <f>G$8*Pricing!$C$12</f>
        <v/>
      </c>
    </row>
    <row r="17">
      <c r="A17" s="6" t="inlineStr">
        <is>
          <t>EBS volumes</t>
        </is>
      </c>
      <c r="B17" s="20">
        <f>(B$7+1+B$6)*Inputs!$B$10*Pricing!$C$16</f>
        <v/>
      </c>
      <c r="C17" s="20">
        <f>(C$7+1+C$6)*Inputs!$B$10*Pricing!$C$16</f>
        <v/>
      </c>
      <c r="D17" s="20">
        <f>(D$7+1+D$6)*Inputs!$B$10*Pricing!$C$16</f>
        <v/>
      </c>
      <c r="E17" s="20">
        <f>(E$7+1+E$6)*Inputs!$B$10*Pricing!$C$16</f>
        <v/>
      </c>
      <c r="F17" s="20">
        <f>(F$7+1+F$6)*Inputs!$B$10*Pricing!$C$16</f>
        <v/>
      </c>
      <c r="G17" s="20">
        <f>(G$7+1+G$6)*Inputs!$B$10*Pricing!$C$16</f>
        <v/>
      </c>
    </row>
    <row r="18">
      <c r="A18" s="6" t="inlineStr">
        <is>
          <t>Overhead (Secrets, R53, CloudWatch)</t>
        </is>
      </c>
      <c r="B18" s="20">
        <f>Pricing!$C$28+Pricing!$C$29+Pricing!$C$30</f>
        <v/>
      </c>
      <c r="C18" s="20">
        <f>Pricing!$C$28+Pricing!$C$29+Pricing!$C$30</f>
        <v/>
      </c>
      <c r="D18" s="20">
        <f>Pricing!$C$28+Pricing!$C$29+Pricing!$C$30</f>
        <v/>
      </c>
      <c r="E18" s="20">
        <f>Pricing!$C$28+Pricing!$C$29+Pricing!$C$30</f>
        <v/>
      </c>
      <c r="F18" s="20">
        <f>Pricing!$C$28+Pricing!$C$29+Pricing!$C$30</f>
        <v/>
      </c>
      <c r="G18" s="20">
        <f>Pricing!$C$28+Pricing!$C$29+Pricing!$C$30</f>
        <v/>
      </c>
    </row>
    <row r="19">
      <c r="A19" s="21" t="inlineStr">
        <is>
          <t>Fixed subtotal</t>
        </is>
      </c>
      <c r="B19" s="41">
        <f>SUM(B11:B18)</f>
        <v/>
      </c>
      <c r="C19" s="41">
        <f>SUM(C11:C18)</f>
        <v/>
      </c>
      <c r="D19" s="41">
        <f>SUM(D11:D18)</f>
        <v/>
      </c>
      <c r="E19" s="41">
        <f>SUM(E11:E18)</f>
        <v/>
      </c>
      <c r="F19" s="41">
        <f>SUM(F11:F18)</f>
        <v/>
      </c>
      <c r="G19" s="41">
        <f>SUM(G11:G18)</f>
        <v/>
      </c>
    </row>
    <row r="20">
      <c r="A20" s="39" t="inlineStr">
        <is>
          <t>Per-patient monthly cost (full dataset)</t>
        </is>
      </c>
      <c r="B20" s="40" t="n"/>
      <c r="C20" s="40" t="n"/>
      <c r="D20" s="40" t="n"/>
      <c r="E20" s="40" t="n"/>
      <c r="F20" s="40" t="n"/>
    </row>
    <row r="21">
      <c r="A21" s="6" t="inlineStr">
        <is>
          <t>S3 storage (std + glacier)</t>
        </is>
      </c>
      <c r="B21" s="20">
        <f>(B$4*Inputs!$B$6*Inputs!$B$7*(1+Inputs!$B$8))*(1-Inputs!$B$9)*Pricing!$C$17+(B$4*Inputs!$B$6*Inputs!$B$7*(1+Inputs!$B$8))*Inputs!$B$9*Pricing!$C$18</f>
        <v/>
      </c>
      <c r="C21" s="20">
        <f>(C$4*Inputs!$B$6*Inputs!$B$7*(1+Inputs!$B$8))*(1-Inputs!$B$9)*Pricing!$C$17+(C$4*Inputs!$B$6*Inputs!$B$7*(1+Inputs!$B$8))*Inputs!$B$9*Pricing!$C$18</f>
        <v/>
      </c>
      <c r="D21" s="20">
        <f>(D$4*Inputs!$B$6*Inputs!$B$7*(1+Inputs!$B$8))*(1-Inputs!$B$9)*Pricing!$C$17+(D$4*Inputs!$B$6*Inputs!$B$7*(1+Inputs!$B$8))*Inputs!$B$9*Pricing!$C$18</f>
        <v/>
      </c>
      <c r="E21" s="20">
        <f>(E$4*Inputs!$B$6*Inputs!$B$7*(1+Inputs!$B$8))*(1-Inputs!$B$9)*Pricing!$C$17+(E$4*Inputs!$B$6*Inputs!$B$7*(1+Inputs!$B$8))*Inputs!$B$9*Pricing!$C$18</f>
        <v/>
      </c>
      <c r="F21" s="20">
        <f>(F$4*Inputs!$B$6*Inputs!$B$7*(1+Inputs!$B$8))*(1-Inputs!$B$9)*Pricing!$C$17+(F$4*Inputs!$B$6*Inputs!$B$7*(1+Inputs!$B$8))*Inputs!$B$9*Pricing!$C$18</f>
        <v/>
      </c>
      <c r="G21" s="20">
        <f>(G$4*Inputs!$B$6*Inputs!$B$7*(1+Inputs!$B$8))*(1-Inputs!$B$9)*Pricing!$C$17+(G$4*Inputs!$B$6*Inputs!$B$7*(1+Inputs!$B$8))*Inputs!$B$9*Pricing!$C$18</f>
        <v/>
      </c>
    </row>
    <row r="22">
      <c r="A22" s="6" t="inlineStr">
        <is>
          <t>S3 requests</t>
        </is>
      </c>
      <c r="B22" s="20">
        <f>(B$4*Inputs!$B$11*Inputs!$B$14)*2/1000*Pricing!$C$19+(B$4*Inputs!$B$11*Inputs!$B$14)/1000*Pricing!$C$20</f>
        <v/>
      </c>
      <c r="C22" s="20">
        <f>(C$4*Inputs!$B$11*Inputs!$B$14)*2/1000*Pricing!$C$19+(C$4*Inputs!$B$11*Inputs!$B$14)/1000*Pricing!$C$20</f>
        <v/>
      </c>
      <c r="D22" s="20">
        <f>(D$4*Inputs!$B$11*Inputs!$B$14)*2/1000*Pricing!$C$19+(D$4*Inputs!$B$11*Inputs!$B$14)/1000*Pricing!$C$20</f>
        <v/>
      </c>
      <c r="E22" s="20">
        <f>(E$4*Inputs!$B$11*Inputs!$B$14)*2/1000*Pricing!$C$19+(E$4*Inputs!$B$11*Inputs!$B$14)/1000*Pricing!$C$20</f>
        <v/>
      </c>
      <c r="F22" s="20">
        <f>(F$4*Inputs!$B$11*Inputs!$B$14)*2/1000*Pricing!$C$19+(F$4*Inputs!$B$11*Inputs!$B$14)/1000*Pricing!$C$20</f>
        <v/>
      </c>
      <c r="G22" s="20">
        <f>(G$4*Inputs!$B$11*Inputs!$B$14)*2/1000*Pricing!$C$19+(G$4*Inputs!$B$11*Inputs!$B$14)/1000*Pricing!$C$20</f>
        <v/>
      </c>
    </row>
    <row r="23">
      <c r="A23" s="6" t="inlineStr">
        <is>
          <t>Metadata index (DDB+SQS+Lambda)</t>
        </is>
      </c>
      <c r="B23" s="20">
        <f>(B$4*Inputs!$B$11*Inputs!$B$14)*Inputs!$B$15/1000000*Pricing!$C$21+B$4*Inputs!$B$11*90*0.0000003*Pricing!$C$23+MAX(0,(B$4*Inputs!$B$11*Inputs!$B$14)-1000000)/1000000*Pricing!$C$26+((B$4*Inputs!$B$11*Inputs!$B$14)/10/1000000*Pricing!$C$24)+((B$4*Inputs!$B$11*Inputs!$B$14)/10*0.256*0.2*Pricing!$C$25)</f>
        <v/>
      </c>
      <c r="C23" s="20">
        <f>(C$4*Inputs!$B$11*Inputs!$B$14)*Inputs!$B$15/1000000*Pricing!$C$21+C$4*Inputs!$B$11*90*0.0000003*Pricing!$C$23+MAX(0,(C$4*Inputs!$B$11*Inputs!$B$14)-1000000)/1000000*Pricing!$C$26+((C$4*Inputs!$B$11*Inputs!$B$14)/10/1000000*Pricing!$C$24)+((C$4*Inputs!$B$11*Inputs!$B$14)/10*0.256*0.2*Pricing!$C$25)</f>
        <v/>
      </c>
      <c r="D23" s="20">
        <f>(D$4*Inputs!$B$11*Inputs!$B$14)*Inputs!$B$15/1000000*Pricing!$C$21+D$4*Inputs!$B$11*90*0.0000003*Pricing!$C$23+MAX(0,(D$4*Inputs!$B$11*Inputs!$B$14)-1000000)/1000000*Pricing!$C$26+((D$4*Inputs!$B$11*Inputs!$B$14)/10/1000000*Pricing!$C$24)+((D$4*Inputs!$B$11*Inputs!$B$14)/10*0.256*0.2*Pricing!$C$25)</f>
        <v/>
      </c>
      <c r="E23" s="20">
        <f>(E$4*Inputs!$B$11*Inputs!$B$14)*Inputs!$B$15/1000000*Pricing!$C$21+E$4*Inputs!$B$11*90*0.0000003*Pricing!$C$23+MAX(0,(E$4*Inputs!$B$11*Inputs!$B$14)-1000000)/1000000*Pricing!$C$26+((E$4*Inputs!$B$11*Inputs!$B$14)/10/1000000*Pricing!$C$24)+((E$4*Inputs!$B$11*Inputs!$B$14)/10*0.256*0.2*Pricing!$C$25)</f>
        <v/>
      </c>
      <c r="F23" s="20">
        <f>(F$4*Inputs!$B$11*Inputs!$B$14)*Inputs!$B$15/1000000*Pricing!$C$21+F$4*Inputs!$B$11*90*0.0000003*Pricing!$C$23+MAX(0,(F$4*Inputs!$B$11*Inputs!$B$14)-1000000)/1000000*Pricing!$C$26+((F$4*Inputs!$B$11*Inputs!$B$14)/10/1000000*Pricing!$C$24)+((F$4*Inputs!$B$11*Inputs!$B$14)/10*0.256*0.2*Pricing!$C$25)</f>
        <v/>
      </c>
      <c r="G23" s="20">
        <f>(G$4*Inputs!$B$11*Inputs!$B$14)*Inputs!$B$15/1000000*Pricing!$C$21+G$4*Inputs!$B$11*90*0.0000003*Pricing!$C$23+MAX(0,(G$4*Inputs!$B$11*Inputs!$B$14)-1000000)/1000000*Pricing!$C$26+((G$4*Inputs!$B$11*Inputs!$B$14)/10/1000000*Pricing!$C$24)+((G$4*Inputs!$B$11*Inputs!$B$14)/10*0.256*0.2*Pricing!$C$25)</f>
        <v/>
      </c>
    </row>
    <row r="24">
      <c r="A24" s="21" t="inlineStr">
        <is>
          <t>Per-patient subtotal</t>
        </is>
      </c>
      <c r="B24" s="41">
        <f>SUM(B21:B23)</f>
        <v/>
      </c>
      <c r="C24" s="41">
        <f>SUM(C21:C23)</f>
        <v/>
      </c>
      <c r="D24" s="41">
        <f>SUM(D21:D23)</f>
        <v/>
      </c>
      <c r="E24" s="41">
        <f>SUM(E21:E23)</f>
        <v/>
      </c>
      <c r="F24" s="41">
        <f>SUM(F21:F23)</f>
        <v/>
      </c>
      <c r="G24" s="41">
        <f>SUM(G21:G23)</f>
        <v/>
      </c>
    </row>
    <row r="25">
      <c r="A25" s="39" t="inlineStr">
        <is>
          <t>Totals</t>
        </is>
      </c>
      <c r="B25" s="40" t="n"/>
      <c r="C25" s="40" t="n"/>
      <c r="D25" s="40" t="n"/>
      <c r="E25" s="40" t="n"/>
      <c r="F25" s="40" t="n"/>
    </row>
    <row r="26">
      <c r="A26" s="32" t="inlineStr">
        <is>
          <t>TOTAL MONTHLY</t>
        </is>
      </c>
      <c r="B26" s="42">
        <f>B19+B24</f>
        <v/>
      </c>
      <c r="C26" s="42">
        <f>C19+C24</f>
        <v/>
      </c>
      <c r="D26" s="42">
        <f>D19+D24</f>
        <v/>
      </c>
      <c r="E26" s="42">
        <f>E19+E24</f>
        <v/>
      </c>
      <c r="F26" s="42">
        <f>F19+F24</f>
        <v/>
      </c>
      <c r="G26" s="42">
        <f>G19+G24</f>
        <v/>
      </c>
    </row>
    <row r="27">
      <c r="A27" s="32" t="inlineStr">
        <is>
          <t>TOTAL ANNUAL</t>
        </is>
      </c>
      <c r="B27" s="43">
        <f>B26*12</f>
        <v/>
      </c>
      <c r="C27" s="43">
        <f>C26*12</f>
        <v/>
      </c>
      <c r="D27" s="43">
        <f>D26*12</f>
        <v/>
      </c>
      <c r="E27" s="43">
        <f>E26*12</f>
        <v/>
      </c>
      <c r="F27" s="43">
        <f>F26*12</f>
        <v/>
      </c>
      <c r="G27" s="43">
        <f>G26*12</f>
        <v/>
      </c>
    </row>
    <row r="28">
      <c r="A28" s="19" t="inlineStr">
        <is>
          <t>All-in $ / patient / month</t>
        </is>
      </c>
      <c r="B28" s="44">
        <f>B26/B$4</f>
        <v/>
      </c>
      <c r="C28" s="44">
        <f>C26/C$4</f>
        <v/>
      </c>
      <c r="D28" s="44">
        <f>D26/D$4</f>
        <v/>
      </c>
      <c r="E28" s="44">
        <f>E26/E$4</f>
        <v/>
      </c>
      <c r="F28" s="44">
        <f>F26/F$4</f>
        <v/>
      </c>
      <c r="G28" s="44">
        <f>G26/G$4</f>
        <v/>
      </c>
    </row>
    <row r="29">
      <c r="A29" s="25" t="inlineStr">
        <is>
          <t>Note: egress assumed 0 here (see Per-Patient Costs sheet for egress).</t>
        </is>
      </c>
    </row>
  </sheetData>
  <mergeCells count="1">
    <mergeCell ref="A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</cols>
  <sheetData>
    <row r="1">
      <c r="A1" s="1" t="inlineStr">
        <is>
          <t>Storage anchor — measured sample datasets</t>
        </is>
      </c>
    </row>
    <row r="3">
      <c r="A3" s="25" t="inlineStr">
        <is>
          <t>Source: s3://beiwe-data-kowalski-beiwe-rxjfjw9miockp1gzxa42gd2zikzdrd3ndrclz</t>
        </is>
      </c>
    </row>
    <row r="4">
      <c r="A4" s="25" t="inlineStr">
        <is>
          <t>Prefix: CHUNKED_DATA/2grtzwKjSxi64uYkxqZASgxe/  (public Zenodo-style sample data)</t>
        </is>
      </c>
    </row>
    <row r="5">
      <c r="A5" s="25" t="inlineStr">
        <is>
          <t>Measured 2026-06-24 via `aws s3 ls --recursive` (sizes are the compressed .zst bytes — the S3 billing basis).</t>
        </is>
      </c>
    </row>
    <row r="6">
      <c r="A6" s="25" t="inlineStr">
        <is>
          <t>8 patients, 7,107 objects, 1,117,493,665 bytes (1.041 GiB) total.</t>
        </is>
      </c>
    </row>
    <row r="7">
      <c r="A7" s="25" t="inlineStr">
        <is>
          <t>Avg 133 MiB/patient over ~8-22 day active spans =&gt; ~13 MiB/patient/day.</t>
        </is>
      </c>
    </row>
    <row r="8">
      <c r="A8" s="25" t="inlineStr">
        <is>
          <t>~89 ChunkRegistry rows/patient/day (this anchors the DB-growth assumption on the Scaling sheet).</t>
        </is>
      </c>
    </row>
    <row r="9">
      <c r="A9" s="25" t="inlineStr">
        <is>
          <t>This is CHUNKED (processed) data only. Raw uploads are added via the 'raw multiplier' input.</t>
        </is>
      </c>
    </row>
    <row r="10">
      <c r="A10" s="25" t="inlineStr">
        <is>
          <t>Storage is dominated by motion sensors — a study without them would be far smaller.</t>
        </is>
      </c>
    </row>
    <row r="12">
      <c r="A12" s="2" t="inlineStr">
        <is>
          <t>Per data stream (sample aggregate)</t>
        </is>
      </c>
    </row>
    <row r="13">
      <c r="A13" s="5" t="inlineStr">
        <is>
          <t>Data stream</t>
        </is>
      </c>
      <c r="B13" s="5" t="inlineStr">
        <is>
          <t>Size (MiB)</t>
        </is>
      </c>
      <c r="C13" s="5" t="inlineStr">
        <is>
          <t>% of bytes</t>
        </is>
      </c>
    </row>
    <row r="14">
      <c r="A14" s="6" t="inlineStr">
        <is>
          <t>accelerometer</t>
        </is>
      </c>
      <c r="B14" s="26" t="n">
        <v>582.4</v>
      </c>
      <c r="C14" s="24" t="n">
        <v>0.546</v>
      </c>
    </row>
    <row r="15">
      <c r="A15" s="6" t="inlineStr">
        <is>
          <t>gyro</t>
        </is>
      </c>
      <c r="B15" s="26" t="n">
        <v>274.2</v>
      </c>
      <c r="C15" s="24" t="n">
        <v>0.257</v>
      </c>
    </row>
    <row r="16">
      <c r="A16" s="6" t="inlineStr">
        <is>
          <t>magnetometer</t>
        </is>
      </c>
      <c r="B16" s="26" t="n">
        <v>155.3</v>
      </c>
      <c r="C16" s="24" t="n">
        <v>0.146</v>
      </c>
    </row>
    <row r="17">
      <c r="A17" s="6" t="inlineStr">
        <is>
          <t>devicemotion</t>
        </is>
      </c>
      <c r="B17" s="26" t="n">
        <v>28.9</v>
      </c>
      <c r="C17" s="24" t="n">
        <v>0.027</v>
      </c>
    </row>
    <row r="18">
      <c r="A18" s="6" t="inlineStr">
        <is>
          <t>gps</t>
        </is>
      </c>
      <c r="B18" s="26" t="n">
        <v>9.199999999999999</v>
      </c>
      <c r="C18" s="24" t="n">
        <v>0.008999999999999999</v>
      </c>
    </row>
    <row r="19">
      <c r="A19" s="6" t="inlineStr">
        <is>
          <t>ios_log</t>
        </is>
      </c>
      <c r="B19" s="26" t="n">
        <v>8</v>
      </c>
      <c r="C19" s="24" t="n">
        <v>0.008</v>
      </c>
    </row>
    <row r="20">
      <c r="A20" s="6" t="inlineStr">
        <is>
          <t>bluetooth</t>
        </is>
      </c>
      <c r="B20" s="26" t="n">
        <v>4.1</v>
      </c>
      <c r="C20" s="24" t="n">
        <v>0.004</v>
      </c>
    </row>
    <row r="21">
      <c r="A21" s="6" t="inlineStr">
        <is>
          <t>wifi</t>
        </is>
      </c>
      <c r="B21" s="26" t="n">
        <v>2</v>
      </c>
      <c r="C21" s="24" t="n">
        <v>0.002</v>
      </c>
    </row>
    <row r="22">
      <c r="A22" s="6" t="inlineStr">
        <is>
          <t>app_log</t>
        </is>
      </c>
      <c r="B22" s="26" t="n">
        <v>1.3</v>
      </c>
      <c r="C22" s="24" t="n">
        <v>0.001</v>
      </c>
    </row>
    <row r="23">
      <c r="A23" s="6" t="inlineStr">
        <is>
          <t>power_state</t>
        </is>
      </c>
      <c r="B23" s="26" t="n">
        <v>0.3</v>
      </c>
      <c r="C23" s="24" t="n">
        <v>0</v>
      </c>
    </row>
    <row r="24">
      <c r="A24" s="6" t="inlineStr">
        <is>
          <t>reachability/texts/calls/identifiers/surveys</t>
        </is>
      </c>
      <c r="B24" s="26" t="n">
        <v>0.1</v>
      </c>
      <c r="C24" s="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2026-06-24T23:43:31Z</dcterms:created>
  <dcterms:modified xmlns:dcterms="http://purl.org/dc/terms/" xmlns:xsi="http://www.w3.org/2001/XMLSchema-instance" xsi:type="dcterms:W3CDTF">2026-06-24T23:43:31Z</dcterms:modified>
</cp:coreProperties>
</file>